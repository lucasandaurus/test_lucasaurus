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Validación_hipótesis" sheetId="2" state="visible" r:id="rId2"/>
    <sheet xmlns:r="http://schemas.openxmlformats.org/officeDocument/2006/relationships" name="Veredictos" sheetId="3" state="visible" r:id="rId3"/>
    <sheet xmlns:r="http://schemas.openxmlformats.org/officeDocument/2006/relationships" name="Resumen" sheetId="4" state="visible" r:id="rId4"/>
    <sheet xmlns:r="http://schemas.openxmlformats.org/officeDocument/2006/relationships" name="Visitas" sheetId="5" state="visible" r:id="rId5"/>
    <sheet xmlns:r="http://schemas.openxmlformats.org/officeDocument/2006/relationships" name="Datos_normalizados" sheetId="6" state="visible" r:id="rId6"/>
    <sheet xmlns:r="http://schemas.openxmlformats.org/officeDocument/2006/relationships" name="Codificado"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sz val="14"/>
    </font>
    <font>
      <name val="Arial"/>
      <b val="1"/>
      <sz val="10"/>
    </font>
    <font>
      <name val="Arial"/>
      <sz val="10"/>
    </font>
    <font>
      <name val="Arial"/>
      <b val="1"/>
      <color rgb="00FFFFFF"/>
      <sz val="10"/>
    </font>
    <font>
      <name val="Arial"/>
      <i val="1"/>
      <sz val="9"/>
    </font>
    <font>
      <name val="Arial"/>
      <b val="1"/>
      <sz val="13"/>
    </font>
    <font>
      <name val="Arial"/>
      <color rgb="000000FF"/>
      <sz val="10"/>
    </font>
  </fonts>
  <fills count="9">
    <fill>
      <patternFill/>
    </fill>
    <fill>
      <patternFill patternType="gray125"/>
    </fill>
    <fill>
      <patternFill patternType="solid">
        <fgColor rgb="001F3864"/>
      </patternFill>
    </fill>
    <fill>
      <patternFill patternType="solid">
        <fgColor rgb="00EDEDED"/>
      </patternFill>
    </fill>
    <fill>
      <patternFill patternType="solid">
        <fgColor rgb="00D9E1F2"/>
      </patternFill>
    </fill>
    <fill>
      <patternFill patternType="solid">
        <fgColor rgb="00FFF2CC"/>
      </patternFill>
    </fill>
    <fill>
      <patternFill patternType="solid">
        <fgColor rgb="00E2EFDA"/>
      </patternFill>
    </fill>
    <fill>
      <patternFill patternType="solid">
        <fgColor rgb="00C6EFCE"/>
      </patternFill>
    </fill>
    <fill>
      <patternFill patternType="solid">
        <fgColor rgb="00F8CBA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4" fillId="2" borderId="1" applyAlignment="1" pivotButton="0" quotePrefix="0" xfId="0">
      <alignment horizontal="center" vertical="top" wrapText="1"/>
    </xf>
    <xf numFmtId="0" fontId="2" fillId="4" borderId="0" applyAlignment="1" pivotButton="0" quotePrefix="0" xfId="0">
      <alignmen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9" fontId="3" fillId="0" borderId="1" applyAlignment="1" pivotButton="0" quotePrefix="0" xfId="0">
      <alignment horizontal="center" vertical="top" wrapText="1"/>
    </xf>
    <xf numFmtId="0" fontId="3" fillId="6" borderId="1" applyAlignment="1" pivotButton="0" quotePrefix="0" xfId="0">
      <alignment horizontal="center" vertical="top" wrapText="1"/>
    </xf>
    <xf numFmtId="0" fontId="3" fillId="6" borderId="1" applyAlignment="1" pivotButton="0" quotePrefix="0" xfId="0">
      <alignment vertical="top" wrapText="1"/>
    </xf>
    <xf numFmtId="9" fontId="3" fillId="6" borderId="1" applyAlignment="1" pivotButton="0" quotePrefix="0" xfId="0">
      <alignment horizontal="center" vertical="top" wrapText="1"/>
    </xf>
    <xf numFmtId="0" fontId="7" fillId="6" borderId="1" applyAlignment="1" pivotButton="0" quotePrefix="0" xfId="0">
      <alignment horizontal="center" vertical="top" wrapText="1"/>
    </xf>
    <xf numFmtId="0" fontId="3" fillId="5" borderId="1" applyAlignment="1" pivotButton="0" quotePrefix="0" xfId="0">
      <alignment vertical="top" wrapText="1"/>
    </xf>
    <xf numFmtId="0" fontId="3" fillId="5" borderId="1" applyAlignment="1" pivotButton="0" quotePrefix="0" xfId="0">
      <alignment horizontal="center" vertical="top" wrapText="1"/>
    </xf>
    <xf numFmtId="0" fontId="3" fillId="7" borderId="1" applyAlignment="1" pivotButton="0" quotePrefix="0" xfId="0">
      <alignment horizontal="center" vertical="top" wrapText="1"/>
    </xf>
    <xf numFmtId="0" fontId="3" fillId="3" borderId="1" applyAlignment="1" pivotButton="0" quotePrefix="0" xfId="0">
      <alignment horizontal="center" vertical="top" wrapText="1"/>
    </xf>
    <xf numFmtId="0" fontId="3" fillId="8" borderId="1" applyAlignment="1" pivotButton="0" quotePrefix="0" xfId="0">
      <alignment horizontal="center" vertical="top" wrapText="1"/>
    </xf>
    <xf numFmtId="0" fontId="2" fillId="0" borderId="1" applyAlignment="1" pivotButton="0" quotePrefix="0" xfId="0">
      <alignment vertical="top" wrapText="1"/>
    </xf>
    <xf numFmtId="0" fontId="0" fillId="0" borderId="4" pivotButton="0" quotePrefix="0" xfId="0"/>
    <xf numFmtId="0" fontId="0" fillId="0" borderId="5" pivotButton="0" quotePrefix="0" xfId="0"/>
    <xf numFmtId="0" fontId="3" fillId="3" borderId="1" applyAlignment="1" pivotButton="0" quotePrefix="0" xfId="0">
      <alignment vertical="top" wrapText="1"/>
    </xf>
    <xf numFmtId="164" fontId="3" fillId="0" borderId="1" applyAlignment="1" pivotButton="0" quotePrefix="0" xfId="0">
      <alignment horizontal="center"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CX998</author>
  </authors>
  <commentList>
    <comment ref="H11" authorId="0" shapeId="0">
      <text>
        <t>Conteo manual: visitas V01-V16 de la lista (base Técnico A = 14 recambios).</t>
      </text>
    </comment>
    <comment ref="J11" authorId="0" shapeId="0">
      <text>
        <t>Conteo manual: visitas V17-V27 de la lista (base Técnico B = 11 recambios).</t>
      </text>
    </comment>
    <comment ref="H12" authorId="0" shapeId="0">
      <text>
        <t>Conteo manual: visitas V01-V16 de la lista (base Técnico A = 14 recambios).</t>
      </text>
    </comment>
    <comment ref="J12" authorId="0" shapeId="0">
      <text>
        <t>Conteo manual: visitas V17-V27 de la lista (base Técnico B = 11 recambios).</t>
      </text>
    </comment>
    <comment ref="H13" authorId="0" shapeId="0">
      <text>
        <t>Conteo manual: visitas V01-V16 de la lista (base Técnico A = 14 recambios).</t>
      </text>
    </comment>
    <comment ref="J13" authorId="0" shapeId="0">
      <text>
        <t>Conteo manual: visitas V17-V27 de la lista (base Técnico B = 11 recambios).</t>
      </text>
    </comment>
    <comment ref="H19" authorId="0" shapeId="0">
      <text>
        <t>Conteo manual: visitas V01-V16 de la lista (base Técnico A = 14 recambios).</t>
      </text>
    </comment>
    <comment ref="J19" authorId="0" shapeId="0">
      <text>
        <t>Conteo manual: visitas V17-V27 de la lista (base Técnico B = 11 recambios).</t>
      </text>
    </comment>
    <comment ref="H20" authorId="0" shapeId="0">
      <text>
        <t>Conteo manual: visitas V01-V16 de la lista (base Técnico A = 14 recambios).</t>
      </text>
    </comment>
    <comment ref="J20" authorId="0" shapeId="0">
      <text>
        <t>Conteo manual: visitas V17-V27 de la lista (base Técnico B = 11 recambios).</t>
      </text>
    </comment>
    <comment ref="H27" authorId="0" shapeId="0">
      <text>
        <t>Conteo manual: visitas V01-V16 de la lista (base Técnico A = 14 recambios).</t>
      </text>
    </comment>
    <comment ref="J27" authorId="0" shapeId="0">
      <text>
        <t>Conteo manual: visitas V17-V27 de la lista (base Técnico B = 11 recambios).</t>
      </text>
    </comment>
    <comment ref="H28" authorId="0" shapeId="0">
      <text>
        <t>Conteo manual: visitas V01-V16 de la lista (base Técnico A = 14 recambios).</t>
      </text>
    </comment>
    <comment ref="J28" authorId="0" shapeId="0">
      <text>
        <t>Conteo manual: visitas V17-V27 de la lista (base Técnico B = 11 recambios).</t>
      </text>
    </comment>
    <comment ref="H29" authorId="0" shapeId="0">
      <text>
        <t>Conteo manual: visitas V01-V16 de la lista (base Técnico A = 14 recambios).</t>
      </text>
    </comment>
    <comment ref="J29" authorId="0" shapeId="0">
      <text>
        <t>Conteo manual: visitas V17-V27 de la lista (base Técnico B = 11 recambios).</t>
      </text>
    </comment>
    <comment ref="H34" authorId="0" shapeId="0">
      <text>
        <t>Conteo manual: visitas V01-V16 de la lista (base Técnico A = 14 recambios).</t>
      </text>
    </comment>
    <comment ref="J34" authorId="0" shapeId="0">
      <text>
        <t>Conteo manual: visitas V17-V27 de la lista (base Técnico B = 11 recambios).</t>
      </text>
    </comment>
    <comment ref="H35" authorId="0" shapeId="0">
      <text>
        <t>Conteo manual: visitas V01-V16 de la lista (base Técnico A = 14 recambios).</t>
      </text>
    </comment>
    <comment ref="J35" authorId="0" shapeId="0">
      <text>
        <t>Conteo manual: visitas V17-V27 de la lista (base Técnico B = 11 recambios).</t>
      </text>
    </comment>
    <comment ref="H36" authorId="0" shapeId="0">
      <text>
        <t>Conteo manual: visitas V01-V16 de la lista (base Técnico A = 14 recambios).</t>
      </text>
    </comment>
    <comment ref="J36" authorId="0" shapeId="0">
      <text>
        <t>Conteo manual: visitas V17-V27 de la lista (base Técnico B = 11 recambios).</t>
      </text>
    </comment>
    <comment ref="H44" authorId="0" shapeId="0">
      <text>
        <t>Conteo manual: visitas V01-V16 de la lista (base Técnico A = 14 recambios).</t>
      </text>
    </comment>
    <comment ref="J44" authorId="0" shapeId="0">
      <text>
        <t>Conteo manual: visitas V17-V27 de la lista (base Técnico B = 11 recambios).</t>
      </text>
    </comment>
    <comment ref="H45" authorId="0" shapeId="0">
      <text>
        <t>Conteo manual: visitas V01-V16 de la lista (base Técnico A = 14 recambios).</t>
      </text>
    </comment>
    <comment ref="J45" authorId="0" shapeId="0">
      <text>
        <t>Conteo manual: visitas V17-V27 de la lista (base Técnico B = 11 recambios).</t>
      </text>
    </comment>
    <comment ref="H46" authorId="0" shapeId="0">
      <text>
        <t>Conteo manual: visitas V01-V16 de la lista (base Técnico A = 14 recambios).</t>
      </text>
    </comment>
    <comment ref="J46" authorId="0" shapeId="0">
      <text>
        <t>Conteo manual: visitas V17-V27 de la lista (base Técnico B = 11 recambios).</t>
      </text>
    </comment>
    <comment ref="H50" authorId="0" shapeId="0">
      <text>
        <t>Conteo manual: visitas V01-V16 de la lista (base Técnico A = 14 recambios).</t>
      </text>
    </comment>
    <comment ref="J50" authorId="0" shapeId="0">
      <text>
        <t>Conteo manual: visitas V17-V27 de la lista (base Técnico B = 11 recambios).</t>
      </text>
    </comment>
    <comment ref="H51" authorId="0" shapeId="0">
      <text>
        <t>Conteo manual: visitas V01-V16 de la lista (base Técnico A = 14 recambios).</t>
      </text>
    </comment>
    <comment ref="J51" authorId="0" shapeId="0">
      <text>
        <t>Conteo manual: visitas V17-V27 de la lista (base Técnico B = 11 recambios).</t>
      </text>
    </comment>
    <comment ref="H52" authorId="0" shapeId="0">
      <text>
        <t>Conteo manual: visitas V01-V16 de la lista (base Técnico A = 14 recambios).</t>
      </text>
    </comment>
    <comment ref="J52" authorId="0" shapeId="0">
      <text>
        <t>Conteo manual: visitas V17-V27 de la lista (base Técnico B = 11 recambios).</t>
      </text>
    </comment>
    <comment ref="H53" authorId="0" shapeId="0">
      <text>
        <t>Conteo manual: visitas V01-V16 de la lista (base Técnico A = 14 recambios).</t>
      </text>
    </comment>
    <comment ref="J53" authorId="0" shapeId="0">
      <text>
        <t>Conteo manual: visitas V17-V27 de la lista (base Técnico B = 11 recambios).</t>
      </text>
    </comment>
    <comment ref="H60" authorId="0" shapeId="0">
      <text>
        <t>Conteo manual: visitas V01-V16 de la lista (base Técnico A = 14 recambios).</t>
      </text>
    </comment>
    <comment ref="J60" authorId="0" shapeId="0">
      <text>
        <t>Conteo manual: visitas V17-V27 de la lista (base Técnico B = 11 recambios).</t>
      </text>
    </comment>
    <comment ref="H61" authorId="0" shapeId="0">
      <text>
        <t>Conteo manual: visitas V01-V16 de la lista (base Técnico A = 14 recambios).</t>
      </text>
    </comment>
    <comment ref="J61" authorId="0" shapeId="0">
      <text>
        <t>Conteo manual: visitas V17-V27 de la lista (base Técnico B = 11 recambios).</t>
      </text>
    </comment>
    <comment ref="H62" authorId="0" shapeId="0">
      <text>
        <t>Conteo manual: visitas V01-V16 de la lista (base Técnico A = 14 recambios).</t>
      </text>
    </comment>
    <comment ref="J62" authorId="0" shapeId="0">
      <text>
        <t>Conteo manual: visitas V17-V27 de la lista (base Técnico B = 11 recambios).</t>
      </text>
    </comment>
    <comment ref="H68" authorId="0" shapeId="0">
      <text>
        <t>Conteo manual: visitas V01-V16 de la lista (base Técnico A = 14 recambios).</t>
      </text>
    </comment>
    <comment ref="J68" authorId="0" shapeId="0">
      <text>
        <t>Conteo manual: visitas V17-V27 de la lista (base Técnico B = 11 recambios).</t>
      </text>
    </comment>
    <comment ref="H69" authorId="0" shapeId="0">
      <text>
        <t>Conteo manual: visitas V01-V16 de la lista (base Técnico A = 14 recambios).</t>
      </text>
    </comment>
    <comment ref="J69" authorId="0" shapeId="0">
      <text>
        <t>Conteo manual: visitas V17-V27 de la lista (base Técnico B = 11 recambios).</t>
      </text>
    </comment>
  </commentList>
</comments>
</file>

<file path=xl/comments/comment2.xml><?xml version="1.0" encoding="utf-8"?>
<comments xmlns="http://schemas.openxmlformats.org/spreadsheetml/2006/main">
  <authors>
    <author>CX998</author>
  </authors>
  <commentList>
    <comment ref="J3" authorId="0" shapeId="0">
      <text>
        <t>Estaba en la puerta esperándonos</t>
      </text>
    </comment>
    <comment ref="M3" authorId="0" shapeId="0">
      <text>
        <t>No es el titular</t>
      </text>
    </comment>
    <comment ref="Q3" authorId="0" shapeId="0">
      <text>
        <t>Estaba en la puerta esperándonos</t>
      </text>
    </comment>
    <comment ref="R3" authorId="0" shapeId="0">
      <text>
        <t>Estaba almorzando</t>
      </text>
    </comment>
    <comment ref="AA3" authorId="0" shapeId="0">
      <text>
        <t>No esperó en la puerta</t>
      </text>
    </comment>
    <comment ref="G4" authorId="0" shapeId="0">
      <text>
        <t>¿Por qué el cambio?</t>
      </text>
    </comment>
    <comment ref="O4" authorId="0" shapeId="0">
      <text>
        <t>"Ah, ¿puedo instalar apps?"</t>
      </text>
    </comment>
    <comment ref="P4" authorId="0" shapeId="0">
      <text>
        <t>"Ah, ¿es nuevo?"</t>
      </text>
    </comment>
    <comment ref="H6" authorId="0" shapeId="0">
      <text>
        <t>¿Por qué el cambio?</t>
      </text>
    </comment>
    <comment ref="L6" authorId="0" shapeId="0">
      <text>
        <t>Entusiasmo</t>
      </text>
    </comment>
    <comment ref="N6" authorId="0" shapeId="0">
      <text>
        <t>¿Cómo veo HBO?</t>
      </text>
    </comment>
    <comment ref="O6" authorId="0" shapeId="0">
      <text>
        <t>Contento</t>
      </text>
    </comment>
    <comment ref="R6" authorId="0" shapeId="0">
      <text>
        <t>¿Cómo vincular el control del deco con el TV?</t>
      </text>
    </comment>
    <comment ref="T6" authorId="0" shapeId="0">
      <text>
        <t>¿Cómo vincular Netflix?</t>
      </text>
    </comment>
    <comment ref="AC6" authorId="0" shapeId="0">
      <text>
        <t>Consulta cómo se usa el control con la voz</t>
      </text>
    </comment>
    <comment ref="E7" authorId="0" shapeId="0">
      <text>
        <t>Animados / entusiasmados con el cambio</t>
      </text>
    </comment>
    <comment ref="G7" authorId="0" shapeId="0">
      <text>
        <t>"Muy rápido el cambio"</t>
      </text>
    </comment>
    <comment ref="T7" authorId="0" shapeId="0">
      <text>
        <t>"Ustedes fueron muy amables..."</t>
      </text>
    </comment>
    <comment ref="U10" authorId="0" shapeId="0">
      <text>
        <t>Se le explica que la casa (Home) es reemplazada por el círculo</t>
      </text>
    </comment>
    <comment ref="E14" authorId="0" shapeId="0">
      <text>
        <t>Lo habitual (conciliación, vista del perfil, retiro de equipos viejos)</t>
      </text>
    </comment>
    <comment ref="F14" authorId="0" shapeId="0">
      <text>
        <t>Lo habitual (conciliación, vista del perfil, retiro de equipos viejos)</t>
      </text>
    </comment>
    <comment ref="G14" authorId="0" shapeId="0">
      <text>
        <t>Lo habitual (conciliación, vista del perfil, retiro de equipos viejos)</t>
      </text>
    </comment>
    <comment ref="H14" authorId="0" shapeId="0">
      <text>
        <t>Lo habitual (conciliación, vista del perfil, retiro de equipos viejos)</t>
      </text>
    </comment>
    <comment ref="I14" authorId="0" shapeId="0">
      <text>
        <t>Lo habitual (conciliación, vista del perfil, retiro de equipos viejos)</t>
      </text>
    </comment>
    <comment ref="J14" authorId="0" shapeId="0">
      <text>
        <t>Lo habitual (conciliación, vista del perfil, retiro de equipos viejos)</t>
      </text>
    </comment>
    <comment ref="K14" authorId="0" shapeId="0">
      <text>
        <t>Lo habitual (conciliación, vista del perfil, retiro de equipos viejos)</t>
      </text>
    </comment>
    <comment ref="L14" authorId="0" shapeId="0">
      <text>
        <t>Lo habitual (conciliación, vista del perfil, retiro de equipos viejos)</t>
      </text>
    </comment>
    <comment ref="M14" authorId="0" shapeId="0">
      <text>
        <t>Lo habitual (conciliación, vista del perfil, retiro de equipos viejos)</t>
      </text>
    </comment>
    <comment ref="N14" authorId="0" shapeId="0">
      <text>
        <t>Lo habitual (conciliación, vista del perfil, retiro de equipos viejos)</t>
      </text>
    </comment>
    <comment ref="O14" authorId="0" shapeId="0">
      <text>
        <t>Lo habitual (conciliación, vista del perfil, retiro de equipos viejos)</t>
      </text>
    </comment>
    <comment ref="P14" authorId="0" shapeId="0">
      <text>
        <t>Lo habitual (conciliación, vista del perfil, retiro de equipos viejos)</t>
      </text>
    </comment>
    <comment ref="Q14" authorId="0" shapeId="0">
      <text>
        <t>Lo habitual (conciliación, vista del perfil, retiro de equipos viejos)</t>
      </text>
    </comment>
    <comment ref="R14" authorId="0" shapeId="0">
      <text>
        <t>Lo habitual (conciliación, vista del perfil, retiro de equipos viejos)</t>
      </text>
    </comment>
    <comment ref="S14" authorId="0" shapeId="0">
      <text>
        <t>Lo habitual (conciliación, vista del perfil, retiro de equipos viejos)</t>
      </text>
    </comment>
    <comment ref="T14" authorId="0" shapeId="0">
      <text>
        <t>Lo habitual (conciliación, vista del perfil, retiro de equipos viejos)</t>
      </text>
    </comment>
    <comment ref="U14" authorId="0" shapeId="0">
      <text>
        <t>Lo habitual (conciliación, vista del perfil, retiro de equipos viejos)</t>
      </text>
    </comment>
    <comment ref="V14" authorId="0" shapeId="0">
      <text>
        <t>Lo habitual (conciliación, vista del perfil, retiro de equipos viejos)</t>
      </text>
    </comment>
    <comment ref="W14" authorId="0" shapeId="0">
      <text>
        <t>Lo habitual (conciliación, vista del perfil, retiro de equipos viejos)</t>
      </text>
    </comment>
    <comment ref="X14" authorId="0" shapeId="0">
      <text>
        <t>Lo habitual (conciliación, vista del perfil, retiro de equipos viejos)</t>
      </text>
    </comment>
    <comment ref="Y14" authorId="0" shapeId="0">
      <text>
        <t>Lo habitual (conciliación, vista del perfil, retiro de equipos viejos)</t>
      </text>
    </comment>
    <comment ref="Z14" authorId="0" shapeId="0">
      <text>
        <t>Lo habitual (conciliación, vista del perfil, retiro de equipos viejos)</t>
      </text>
    </comment>
    <comment ref="AA14" authorId="0" shapeId="0">
      <text>
        <t>Lo habitual (conciliación, vista del perfil, retiro de equipos viejos)</t>
      </text>
    </comment>
    <comment ref="AB14" authorId="0" shapeId="0">
      <text>
        <t>Lo habitual (conciliación, vista del perfil, retiro de equipos viejos)</t>
      </text>
    </comment>
    <comment ref="AC14" authorId="0" shapeId="0">
      <text>
        <t>Lo habitual (conciliación, vista del perfil, retiro de equipos viejos)</t>
      </text>
    </comment>
    <comment ref="AD14" authorId="0" shapeId="0">
      <text>
        <t>Lo habitual (conciliación, vista del perfil, retiro de equipos viejos)</t>
      </text>
    </comment>
    <comment ref="AE14" authorId="0" shapeId="0">
      <text>
        <t>Lo habitual (conciliación, vista del perfil, retiro de equipos viejos)</t>
      </text>
    </comment>
    <comment ref="AA16" authorId="0" shapeId="0">
      <text>
        <t>No le funcionaba el televisor, se tuvo que probar en otros</t>
      </text>
    </comment>
    <comment ref="J20" authorId="0" shapeId="0">
      <text>
        <t>YouTube sin contraseña</t>
      </text>
    </comment>
    <comment ref="N20" authorId="0" shapeId="0">
      <text>
        <t>Pidió ver HBO, no lo tiene contratado</t>
      </text>
    </comment>
    <comment ref="Q20" authorId="0" shapeId="0">
      <text>
        <t>Se ve, pack fútbol</t>
      </text>
    </comment>
    <comment ref="H21" authorId="0" shapeId="0">
      <text>
        <t>Pack fútbol reconocido en el perfil</t>
      </text>
    </comment>
    <comment ref="I21" authorId="0" shapeId="0">
      <text>
        <t>Ayudamos a reconectar su suscripción de Netflix</t>
      </text>
    </comment>
    <comment ref="J21" authorId="0" shapeId="0">
      <text>
        <t>YouTube en modo visita</t>
      </text>
    </comment>
    <comment ref="M21" authorId="0" shapeId="0">
      <text>
        <t>Cargar credenciales / Google / Play Store</t>
      </text>
    </comment>
    <comment ref="I22" authorId="0" shapeId="0">
      <text>
        <t>Necesitó asistencia</t>
      </text>
    </comment>
    <comment ref="J22" authorId="0" shapeId="0">
      <text>
        <t>YouTube en modo visita</t>
      </text>
    </comment>
    <comment ref="Q22" authorId="0" shapeId="0">
      <text>
        <t>Carga las credenciales</t>
      </text>
    </comment>
    <comment ref="I23" authorId="0" shapeId="0">
      <text>
        <t>Recordó las credenciales</t>
      </text>
    </comment>
    <comment ref="J23" authorId="0" shapeId="0">
      <text>
        <t>YouTube en modo visita</t>
      </text>
    </comment>
    <comment ref="F24" authorId="0" shapeId="0">
      <text>
        <t>¿Por qué el cambio? ¿A qué se debe?</t>
      </text>
    </comment>
    <comment ref="H24" authorId="0" shapeId="0">
      <text>
        <t>"¿Hay que pagar algo por el cambio del deco?"</t>
      </text>
    </comment>
    <comment ref="I24" authorId="0" shapeId="0">
      <text>
        <t>Uso del control remoto / interfaz</t>
      </text>
    </comment>
    <comment ref="O24" authorId="0" shapeId="0">
      <text>
        <t>La atención telefónica es mala, no me interpretaron</t>
      </text>
    </comment>
    <comment ref="Q24" authorId="0" shapeId="0">
      <text>
        <t>No sabía qué hacíamos, qué cambiábamos</t>
      </text>
    </comment>
    <comment ref="W24" authorId="0" shapeId="0">
      <text>
        <t>¿Por qué el cambio? ¿A qué se debe?</t>
      </text>
    </comment>
    <comment ref="AA24" authorId="0" shapeId="0">
      <text>
        <t>¿Por qué el cambio? ¿A qué se debe?</t>
      </text>
    </comment>
    <comment ref="AB24" authorId="0" shapeId="0">
      <text>
        <t>¿Por qué el cambio? ¿A qué se debe?</t>
      </text>
    </comment>
    <comment ref="AC24" authorId="0" shapeId="0">
      <text>
        <t>¿Por qué el cambio? Hace poco tenía la instalación realizada como nueva</t>
      </text>
    </comment>
    <comment ref="S25" authorId="0" shapeId="0">
      <text>
        <t>¿Tiene costo? (le figura instalación; había pedido cambio de deco)</t>
      </text>
    </comment>
    <comment ref="T25" authorId="0" shapeId="0">
      <text>
        <t>El deco anterior funcionaba muy mal...</t>
      </text>
    </comment>
    <comment ref="I26" authorId="0" shapeId="0">
      <text>
        <t>Contó que lo ayudará la hija cuando vuelva</t>
      </text>
    </comment>
    <comment ref="T26" authorId="0" shapeId="0">
      <text>
        <t>Netflix: quiero seguir viendo Netflix</t>
      </text>
    </comment>
    <comment ref="Z26" authorId="0" shapeId="0">
      <text>
        <t>Le va a pedir al nieto que le cargue nuevamente usuario y contraseña de Netflix</t>
      </text>
    </comment>
    <comment ref="I27" authorId="0" shapeId="0">
      <text>
        <t>Pidió que probemos todo el uso; se hizo superficialmente</t>
      </text>
    </comment>
    <comment ref="J27" authorId="0" shapeId="0">
      <text>
        <t>"Si tengo problemas, ¿qué hago?" (derivamos a 611)</t>
      </text>
    </comment>
    <comment ref="L27" authorId="0" shapeId="0">
      <text>
        <t>Intriga por el nuevo control remoto: más chico, accesos directos interesantes</t>
      </text>
    </comment>
    <comment ref="M27" authorId="0" shapeId="0">
      <text>
        <t>Menú / apps de terceros</t>
      </text>
    </comment>
    <comment ref="O27" authorId="0" shapeId="0">
      <text>
        <t>Mala atención del operador telefónico</t>
      </text>
    </comment>
    <comment ref="W27" authorId="0" shapeId="0">
      <text>
        <t>Consulta cómo se usa el control con la voz</t>
      </text>
    </comment>
    <comment ref="AC27" authorId="0" shapeId="0">
      <text>
        <t>Consulta cómo se usa el control con la voz</t>
      </text>
    </comment>
    <comment ref="G28" authorId="0" shapeId="0">
      <text>
        <t>Pidió conectar por wifi (antes por ethernet)</t>
      </text>
    </comment>
    <comment ref="O28" authorId="0" shapeId="0">
      <text>
        <t>Por servicio técnico telefónico: su deco no conectaba con el repetidor/módem</t>
      </text>
    </comment>
    <comment ref="Q28" authorId="0" shapeId="0">
      <text>
        <t>¿Cómo pido un nuevo deco? (pidió un agregado)</t>
      </text>
    </comment>
    <comment ref="S28" authorId="0" shapeId="0">
      <text>
        <t>¿Tiene costo?</t>
      </text>
    </comment>
    <comment ref="Z28" authorId="0" shapeId="0">
      <text>
        <t>Pide que le cambien el módem porque no le funciona bien</t>
      </text>
    </comment>
    <comment ref="H29" authorId="0" shapeId="0">
      <text>
        <t>No era el titular, era un familiar</t>
      </text>
    </comment>
    <comment ref="I29" authorId="0" shapeId="0">
      <text>
        <t>Consultó por qué es el cambio</t>
      </text>
    </comment>
    <comment ref="O29" authorId="0" shapeId="0">
      <text>
        <t>Dudas con repetidor / módem / conexiones; preguntó por cámara de seguridad</t>
      </text>
    </comment>
    <comment ref="R29" authorId="0" shapeId="0">
      <text>
        <t>Coordinó por teléfono: le dijeron que se podía vincular pero no cómo; pidió ayuda. Le dejamos el manual</t>
      </text>
    </comment>
    <comment ref="E30" authorId="0" shapeId="0">
      <text>
        <t>Atendió un familiar, no estaba el cliente</t>
      </text>
    </comment>
    <comment ref="F31" authorId="0" shapeId="0">
      <text>
        <t>Preguntó "¿por qué?" el cambio</t>
      </text>
    </comment>
    <comment ref="H31" authorId="0" shapeId="0">
      <text>
        <t>Consultó el motivo del cambio / no fue con quien se gestionó</t>
      </text>
    </comment>
    <comment ref="I31" authorId="0" shapeId="0">
      <text>
        <t>Preguntó el motivo del cambio</t>
      </text>
    </comment>
    <comment ref="O31" authorId="0" shapeId="0">
      <text>
        <t>Solo características del nuevo deco</t>
      </text>
    </comment>
    <comment ref="P31" authorId="0" shapeId="0">
      <text>
        <t>Entiende pero pregunta el motivo</t>
      </text>
    </comment>
    <comment ref="Q31" authorId="0" shapeId="0">
      <text>
        <t>Creyó que cambiábamos otro dispositivo</t>
      </text>
    </comment>
    <comment ref="J34" authorId="0" shapeId="0">
      <text>
        <t>Acceso a la grilla</t>
      </text>
    </comment>
    <comment ref="K34" authorId="0" shapeId="0">
      <text>
        <t>Home</t>
      </text>
    </comment>
    <comment ref="L34" authorId="0" shapeId="0">
      <text>
        <t>Home / accesos directos, grilla</t>
      </text>
    </comment>
    <comment ref="M34" authorId="0" shapeId="0">
      <text>
        <t>Menú / Guía, accesos directos, YouTube</t>
      </text>
    </comment>
    <comment ref="O34" authorId="0" shapeId="0">
      <text>
        <t>Le llamaron la atención los botones de acceso directo</t>
      </text>
    </comment>
    <comment ref="U34" authorId="0" shapeId="0">
      <text>
        <t>Vio como positivos los accesos directos</t>
      </text>
    </comment>
    <comment ref="AB34" authorId="0" shapeId="0">
      <text>
        <t>Le gustó que la luz del deco no quede encendida</t>
      </text>
    </comment>
    <comment ref="I35" authorId="0" shapeId="0">
      <text>
        <t>Consultó uso, menú, otras apps</t>
      </text>
    </comment>
    <comment ref="M35" authorId="0" shapeId="0">
      <text>
        <t>YouTube, Netflix, etc.</t>
      </text>
    </comment>
    <comment ref="I36" authorId="0" shapeId="0">
      <text>
        <t>Consultó por accesos directos</t>
      </text>
    </comment>
    <comment ref="Y36" authorId="0" shapeId="0">
      <text>
        <t>Consultó por accesos directos</t>
      </text>
    </comment>
    <comment ref="O38" authorId="0" shapeId="0">
      <text>
        <t>Pack fútbol</t>
      </text>
    </comment>
    <comment ref="I40" authorId="0" shapeId="0">
      <text>
        <t>"Me costó el anterior, este parece igual"</t>
      </text>
    </comment>
    <comment ref="J40" authorId="0" shapeId="0">
      <text>
        <t>"Este nuevo deco es más chico"</t>
      </text>
    </comment>
    <comment ref="L40" authorId="0" shapeId="0">
      <text>
        <t>"Es más chico"</t>
      </text>
    </comment>
    <comment ref="M40" authorId="0" shapeId="0">
      <text>
        <t>Es igual al anterior, más chico; tiene accesos directos. Preguntó por ventajas y diferencias con el anterior</t>
      </text>
    </comment>
    <comment ref="P40" authorId="0" shapeId="0">
      <text>
        <t>"Ah, es más nuevo..." "¿Se llevan el viejo?"</t>
      </text>
    </comment>
    <comment ref="I42" authorId="0" shapeId="0">
      <text>
        <t>Ayuda de la hija luego</t>
      </text>
    </comment>
    <comment ref="I43" authorId="0" shapeId="0">
      <text>
        <t>Antes de irse el técnico, pidió probar todo, que todo funcione y que mostremos cómo se veía</t>
      </text>
    </comment>
    <comment ref="I44" authorId="0" shapeId="0">
      <text>
        <t>Los cambios de pantalla (UI) generan dudas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10" customWidth="1" min="2" max="2"/>
  </cols>
  <sheetData>
    <row r="1">
      <c r="A1" s="1" t="inlineStr">
        <is>
          <t>CX ID 998 · Cambio de decodificador Android · Planilla de observación normalizada</t>
        </is>
      </c>
    </row>
    <row r="2">
      <c r="A2" s="2" t="inlineStr"/>
    </row>
    <row r="3">
      <c r="A3" s="2" t="inlineStr">
        <is>
          <t>Fuente</t>
        </is>
      </c>
      <c r="B3" s="3" t="inlineStr">
        <is>
          <t>Planilla de observación en campo, pre-piloto La Plata (24 y 25 de septiembre). 27 visitas acompañadas (Lucas: V01-V16, Marcelo: V17-V27).</t>
        </is>
      </c>
    </row>
    <row r="4">
      <c r="A4" s="2" t="inlineStr">
        <is>
          <t>Anonimización</t>
        </is>
      </c>
      <c r="B4" s="3" t="inlineStr">
        <is>
          <t>Se eliminaron nombres de clientes y ANI/teléfonos/direcciones. Cada visita se identifica como V01-V27. Los técnicos se identifican como Técnico A (V01-V16) y Técnico B (V17-V27).</t>
        </is>
      </c>
    </row>
    <row r="5">
      <c r="A5" s="2" t="inlineStr">
        <is>
          <t>Base de análisis</t>
        </is>
      </c>
      <c r="B5" s="3" t="inlineStr">
        <is>
          <t>25 recambios. Se excluyen de los conteos V07 y V15, registradas como 'Instalación' (no son recambios). Siguen visibles en los datos, sombreadas en gris.</t>
        </is>
      </c>
    </row>
    <row r="6">
      <c r="A6" s="2" t="inlineStr">
        <is>
          <t>Criterios reformulados</t>
        </is>
      </c>
      <c r="B6" s="3" t="inlineStr">
        <is>
          <t>Los criterios redactados en negativo se pasaron a positivo, manteniendo las respuestas como estaban (decisión del equipo). Columna 'Criterio original' en la hoja Datos_normalizados.</t>
        </is>
      </c>
    </row>
    <row r="7">
      <c r="A7" s="2" t="inlineStr">
        <is>
          <t>Alertas de polaridad</t>
        </is>
      </c>
      <c r="B7" s="3" t="inlineStr">
        <is>
          <t>Si una nota del observador contradice la lectura positiva, la fila queda en amarillo con una alerta. En esas filas, el conteo S/N no es confiable: usá las notas.</t>
        </is>
      </c>
    </row>
    <row r="8">
      <c r="A8" s="2" t="inlineStr">
        <is>
          <t>Codificación</t>
        </is>
      </c>
      <c r="B8" s="3" t="inlineStr">
        <is>
          <t>Hoja Codificado: S (incluye 'S - ...' y 'Sí...'), N (incluye 'N - ...', 'No,...' y 'No explicó...'), N/A, Nota (observación textual sin S/N) y Sin registro (celda vacía).</t>
        </is>
      </c>
    </row>
    <row r="9">
      <c r="A9" s="2" t="inlineStr">
        <is>
          <t>Hojas de validación</t>
        </is>
      </c>
      <c r="B9" s="3" t="inlineStr">
        <is>
          <t>Veredictos: veredicto, confianza, justificación, contraevidencia y reformulación de cada hipótesis, más las hipótesis emergentes y las reglas de decisión. Validación_hipótesis: evidencia por indicador en dos capas, Registrado (fórmulas sobre Codificado, total y por técnico) y Observado (notas de campo codificadas, con las visitas listadas).</t>
        </is>
      </c>
    </row>
    <row r="10">
      <c r="A10" s="2" t="inlineStr">
        <is>
          <t>Hoja Resumen</t>
        </is>
      </c>
      <c r="B10" s="3" t="inlineStr">
        <is>
          <t>Conteos por criterio calculados con fórmulas sobre la hoja Codificado, solo para visitas con 'Base recambio = Sí'. Si corregís un código, el resumen se recalcula.</t>
        </is>
      </c>
    </row>
    <row r="11">
      <c r="A11" s="2" t="inlineStr">
        <is>
          <t>Qué podés editar</t>
        </is>
      </c>
      <c r="B11" s="3" t="inlineStr">
        <is>
          <t>Hoja Codificado (códigos) y fila 2 de Codificado (inclusión en la base). No edites la hoja Resumen: son fórmulas.</t>
        </is>
      </c>
    </row>
    <row r="12">
      <c r="A12" s="2" t="inlineStr">
        <is>
          <t>Otros ajustes</t>
        </is>
      </c>
      <c r="B12" s="3" t="inlineStr">
        <is>
          <t>V04 no tiene técnico, observador ni fecha registrados. En 'Consulta sobre aspectos de uso' la fila original tenía 28 valores: las consultas por control por voz se asignaron a V19 y V25, por consistencia con la fila 'Prueba del servicio'.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9"/>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40" customWidth="1" min="3" max="3"/>
    <col width="50" customWidth="1" min="4" max="4"/>
    <col width="10" customWidth="1" min="5" max="5"/>
    <col width="11" customWidth="1" min="6" max="6"/>
    <col width="10" customWidth="1" min="7" max="7"/>
    <col width="10" customWidth="1" min="8" max="8"/>
    <col width="10" customWidth="1" min="9" max="9"/>
    <col width="10" customWidth="1" min="10" max="10"/>
    <col width="10" customWidth="1" min="11" max="11"/>
    <col width="22" customWidth="1" min="12" max="12"/>
  </cols>
  <sheetData>
    <row r="1">
      <c r="A1" s="4" t="inlineStr">
        <is>
          <t>Validación de hipótesis: evidencia registrada (planilla S/N, con fórmulas) y observada (notas de campo)</t>
        </is>
      </c>
    </row>
    <row r="2" ht="30" customHeight="1">
      <c r="A2" s="5" t="inlineStr">
        <is>
          <t>Registrado: casos que confirman la predicción sobre los casos aplicables (se excluyen N/A y celdas sin registro), en la base de recambios. Observado: codificación manual de las notas; el n se calcula a partir de las visitas listadas. Los valores en azul del Técnico A/B son conteos manuales.</t>
        </is>
      </c>
    </row>
    <row r="4">
      <c r="A4" s="6" t="inlineStr">
        <is>
          <t>Hip.</t>
        </is>
      </c>
      <c r="B4" s="6" t="inlineStr">
        <is>
          <t>Capa</t>
        </is>
      </c>
      <c r="C4" s="6" t="inlineStr">
        <is>
          <t>Indicador / evidencia</t>
        </is>
      </c>
      <c r="D4" s="6" t="inlineStr">
        <is>
          <t>Predicción si la hipótesis es cierta · visitas</t>
        </is>
      </c>
      <c r="E4" s="6" t="inlineStr">
        <is>
          <t>Confirma (n)</t>
        </is>
      </c>
      <c r="F4" s="6" t="inlineStr">
        <is>
          <t>Aplicables (n)</t>
        </is>
      </c>
      <c r="G4" s="6" t="inlineStr">
        <is>
          <t>% confirma</t>
        </is>
      </c>
      <c r="H4" s="6" t="inlineStr">
        <is>
          <t>Téc. A confirma</t>
        </is>
      </c>
      <c r="I4" s="6" t="inlineStr">
        <is>
          <t>Téc. A aplicables</t>
        </is>
      </c>
      <c r="J4" s="6" t="inlineStr">
        <is>
          <t>Téc. B confirma</t>
        </is>
      </c>
      <c r="K4" s="6" t="inlineStr">
        <is>
          <t>Téc. B aplicables</t>
        </is>
      </c>
      <c r="L4" s="6" t="inlineStr">
        <is>
          <t>Alerta de calidad</t>
        </is>
      </c>
    </row>
    <row r="5" ht="28" customHeight="1">
      <c r="A5" s="7" t="inlineStr">
        <is>
          <t>H1. Existen momentos críticos dentro de la visita (llegada, explicación, instalación, prueba y cierre) que determinan la satisfacción final del cliente.</t>
        </is>
      </c>
    </row>
    <row r="6">
      <c r="A6" s="8" t="inlineStr">
        <is>
          <t>H1</t>
        </is>
      </c>
      <c r="B6" s="8" t="inlineStr">
        <is>
          <t>Registrado</t>
        </is>
      </c>
      <c r="C6" s="9" t="inlineStr">
        <is>
          <t>Prueba del servicio: el momento genera una reacción relevante del cliente</t>
        </is>
      </c>
      <c r="D6" s="9" t="inlineStr">
        <is>
          <t>Si H1 es cierta, el cliente reacciona (pregunta, se entusiasma, duda) al ver la nueva interfaz.  [confirma: S, Nota]</t>
        </is>
      </c>
      <c r="E6" s="8">
        <f>COUNTIFS(Codificado!$E$6:$AE$6,"S",Codificado!$E$2:$AE$2,"Sí")+COUNTIFS(Codificado!$E$6:$AE$6,"Nota",Codificado!$E$2:$AE$2,"Sí")</f>
        <v/>
      </c>
      <c r="F6" s="8">
        <f>COUNTIFS(Codificado!$E$6:$AE$6,"S",Codificado!$E$2:$AE$2,"Sí")+COUNTIFS(Codificado!$E$6:$AE$6,"Nota",Codificado!$E$2:$AE$2,"Sí")+COUNTIFS(Codificado!$E$6:$AE$6,"N",Codificado!$E$2:$AE$2,"Sí")</f>
        <v/>
      </c>
      <c r="G6" s="10">
        <f>IFERROR(E6/F6,"-")</f>
        <v/>
      </c>
      <c r="H6" s="8">
        <f>COUNTIFS(Codificado!$E$6:$T$6,"S",Codificado!$E$2:$T$2,"Sí")+COUNTIFS(Codificado!$E$6:$T$6,"Nota",Codificado!$E$2:$T$2,"Sí")</f>
        <v/>
      </c>
      <c r="I6" s="8">
        <f>COUNTIFS(Codificado!$E$6:$T$6,"S",Codificado!$E$2:$T$2,"Sí")+COUNTIFS(Codificado!$E$6:$T$6,"Nota",Codificado!$E$2:$T$2,"Sí")+COUNTIFS(Codificado!$E$6:$T$6,"N",Codificado!$E$2:$T$2,"Sí")</f>
        <v/>
      </c>
      <c r="J6" s="8">
        <f>COUNTIFS(Codificado!$U$6:$AE$6,"S",Codificado!$U$2:$AE$2,"Sí")+COUNTIFS(Codificado!$U$6:$AE$6,"Nota",Codificado!$U$2:$AE$2,"Sí")</f>
        <v/>
      </c>
      <c r="K6" s="8">
        <f>COUNTIFS(Codificado!$U$6:$AE$6,"S",Codificado!$U$2:$AE$2,"Sí")+COUNTIFS(Codificado!$U$6:$AE$6,"Nota",Codificado!$U$2:$AE$2,"Sí")+COUNTIFS(Codificado!$U$6:$AE$6,"N",Codificado!$U$2:$AE$2,"Sí")</f>
        <v/>
      </c>
      <c r="L6" s="9" t="n"/>
    </row>
    <row r="7">
      <c r="A7" s="8" t="inlineStr">
        <is>
          <t>H1</t>
        </is>
      </c>
      <c r="B7" s="8" t="inlineStr">
        <is>
          <t>Registrado</t>
        </is>
      </c>
      <c r="C7" s="9" t="inlineStr">
        <is>
          <t>Explicación del cambio: el momento genera una reacción relevante del cliente</t>
        </is>
      </c>
      <c r="D7" s="9" t="inlineStr">
        <is>
          <t>El momento de la explicación genera reacción del cliente.  [confirma: S, Nota]</t>
        </is>
      </c>
      <c r="E7" s="8">
        <f>COUNTIFS(Codificado!$E$4:$AE$4,"S",Codificado!$E$2:$AE$2,"Sí")+COUNTIFS(Codificado!$E$4:$AE$4,"Nota",Codificado!$E$2:$AE$2,"Sí")</f>
        <v/>
      </c>
      <c r="F7" s="8">
        <f>COUNTIFS(Codificado!$E$4:$AE$4,"S",Codificado!$E$2:$AE$2,"Sí")+COUNTIFS(Codificado!$E$4:$AE$4,"Nota",Codificado!$E$2:$AE$2,"Sí")+COUNTIFS(Codificado!$E$4:$AE$4,"N",Codificado!$E$2:$AE$2,"Sí")</f>
        <v/>
      </c>
      <c r="G7" s="10">
        <f>IFERROR(E7/F7,"-")</f>
        <v/>
      </c>
      <c r="H7" s="8">
        <f>COUNTIFS(Codificado!$E$4:$T$4,"S",Codificado!$E$2:$T$2,"Sí")+COUNTIFS(Codificado!$E$4:$T$4,"Nota",Codificado!$E$2:$T$2,"Sí")</f>
        <v/>
      </c>
      <c r="I7" s="8">
        <f>COUNTIFS(Codificado!$E$4:$T$4,"S",Codificado!$E$2:$T$2,"Sí")+COUNTIFS(Codificado!$E$4:$T$4,"Nota",Codificado!$E$2:$T$2,"Sí")+COUNTIFS(Codificado!$E$4:$T$4,"N",Codificado!$E$2:$T$2,"Sí")</f>
        <v/>
      </c>
      <c r="J7" s="8">
        <f>COUNTIFS(Codificado!$U$4:$AE$4,"S",Codificado!$U$2:$AE$2,"Sí")+COUNTIFS(Codificado!$U$4:$AE$4,"Nota",Codificado!$U$2:$AE$2,"Sí")</f>
        <v/>
      </c>
      <c r="K7" s="8">
        <f>COUNTIFS(Codificado!$U$4:$AE$4,"S",Codificado!$U$2:$AE$2,"Sí")+COUNTIFS(Codificado!$U$4:$AE$4,"Nota",Codificado!$U$2:$AE$2,"Sí")+COUNTIFS(Codificado!$U$4:$AE$4,"N",Codificado!$U$2:$AE$2,"Sí")</f>
        <v/>
      </c>
      <c r="L7" s="9" t="n"/>
    </row>
    <row r="8">
      <c r="A8" s="8" t="inlineStr">
        <is>
          <t>H1</t>
        </is>
      </c>
      <c r="B8" s="8" t="inlineStr">
        <is>
          <t>Registrado</t>
        </is>
      </c>
      <c r="C8" s="9" t="inlineStr">
        <is>
          <t>Instalación: el momento genera una reacción relevante del cliente</t>
        </is>
      </c>
      <c r="D8" s="9" t="inlineStr">
        <is>
          <t>La instalación genera reacción del cliente.  [confirma: S, Nota]</t>
        </is>
      </c>
      <c r="E8" s="8">
        <f>COUNTIFS(Codificado!$E$5:$AE$5,"S",Codificado!$E$2:$AE$2,"Sí")+COUNTIFS(Codificado!$E$5:$AE$5,"Nota",Codificado!$E$2:$AE$2,"Sí")</f>
        <v/>
      </c>
      <c r="F8" s="8">
        <f>COUNTIFS(Codificado!$E$5:$AE$5,"S",Codificado!$E$2:$AE$2,"Sí")+COUNTIFS(Codificado!$E$5:$AE$5,"Nota",Codificado!$E$2:$AE$2,"Sí")+COUNTIFS(Codificado!$E$5:$AE$5,"N",Codificado!$E$2:$AE$2,"Sí")</f>
        <v/>
      </c>
      <c r="G8" s="10">
        <f>IFERROR(E8/F8,"-")</f>
        <v/>
      </c>
      <c r="H8" s="8">
        <f>COUNTIFS(Codificado!$E$5:$T$5,"S",Codificado!$E$2:$T$2,"Sí")+COUNTIFS(Codificado!$E$5:$T$5,"Nota",Codificado!$E$2:$T$2,"Sí")</f>
        <v/>
      </c>
      <c r="I8" s="8">
        <f>COUNTIFS(Codificado!$E$5:$T$5,"S",Codificado!$E$2:$T$2,"Sí")+COUNTIFS(Codificado!$E$5:$T$5,"Nota",Codificado!$E$2:$T$2,"Sí")+COUNTIFS(Codificado!$E$5:$T$5,"N",Codificado!$E$2:$T$2,"Sí")</f>
        <v/>
      </c>
      <c r="J8" s="8">
        <f>COUNTIFS(Codificado!$U$5:$AE$5,"S",Codificado!$U$2:$AE$2,"Sí")+COUNTIFS(Codificado!$U$5:$AE$5,"Nota",Codificado!$U$2:$AE$2,"Sí")</f>
        <v/>
      </c>
      <c r="K8" s="8">
        <f>COUNTIFS(Codificado!$U$5:$AE$5,"S",Codificado!$U$2:$AE$2,"Sí")+COUNTIFS(Codificado!$U$5:$AE$5,"Nota",Codificado!$U$2:$AE$2,"Sí")+COUNTIFS(Codificado!$U$5:$AE$5,"N",Codificado!$U$2:$AE$2,"Sí")</f>
        <v/>
      </c>
      <c r="L8" s="9" t="n"/>
    </row>
    <row r="9">
      <c r="A9" s="8" t="inlineStr">
        <is>
          <t>H1</t>
        </is>
      </c>
      <c r="B9" s="8" t="inlineStr">
        <is>
          <t>Registrado</t>
        </is>
      </c>
      <c r="C9" s="9" t="inlineStr">
        <is>
          <t>Cierre: el momento genera una reacción relevante del cliente</t>
        </is>
      </c>
      <c r="D9" s="9" t="inlineStr">
        <is>
          <t>El cierre genera reacción del cliente.  [confirma: S, Nota]</t>
        </is>
      </c>
      <c r="E9" s="8">
        <f>COUNTIFS(Codificado!$E$7:$AE$7,"S",Codificado!$E$2:$AE$2,"Sí")+COUNTIFS(Codificado!$E$7:$AE$7,"Nota",Codificado!$E$2:$AE$2,"Sí")</f>
        <v/>
      </c>
      <c r="F9" s="8">
        <f>COUNTIFS(Codificado!$E$7:$AE$7,"S",Codificado!$E$2:$AE$2,"Sí")+COUNTIFS(Codificado!$E$7:$AE$7,"Nota",Codificado!$E$2:$AE$2,"Sí")+COUNTIFS(Codificado!$E$7:$AE$7,"N",Codificado!$E$2:$AE$2,"Sí")</f>
        <v/>
      </c>
      <c r="G9" s="10">
        <f>IFERROR(E9/F9,"-")</f>
        <v/>
      </c>
      <c r="H9" s="8">
        <f>COUNTIFS(Codificado!$E$7:$T$7,"S",Codificado!$E$2:$T$2,"Sí")+COUNTIFS(Codificado!$E$7:$T$7,"Nota",Codificado!$E$2:$T$2,"Sí")</f>
        <v/>
      </c>
      <c r="I9" s="8">
        <f>COUNTIFS(Codificado!$E$7:$T$7,"S",Codificado!$E$2:$T$2,"Sí")+COUNTIFS(Codificado!$E$7:$T$7,"Nota",Codificado!$E$2:$T$2,"Sí")+COUNTIFS(Codificado!$E$7:$T$7,"N",Codificado!$E$2:$T$2,"Sí")</f>
        <v/>
      </c>
      <c r="J9" s="8">
        <f>COUNTIFS(Codificado!$U$7:$AE$7,"S",Codificado!$U$2:$AE$2,"Sí")+COUNTIFS(Codificado!$U$7:$AE$7,"Nota",Codificado!$U$2:$AE$2,"Sí")</f>
        <v/>
      </c>
      <c r="K9" s="8">
        <f>COUNTIFS(Codificado!$U$7:$AE$7,"S",Codificado!$U$2:$AE$2,"Sí")+COUNTIFS(Codificado!$U$7:$AE$7,"Nota",Codificado!$U$2:$AE$2,"Sí")+COUNTIFS(Codificado!$U$7:$AE$7,"N",Codificado!$U$2:$AE$2,"Sí")</f>
        <v/>
      </c>
      <c r="L9" s="9" t="n"/>
    </row>
    <row r="10">
      <c r="A10" s="8" t="inlineStr">
        <is>
          <t>H1</t>
        </is>
      </c>
      <c r="B10" s="8" t="inlineStr">
        <is>
          <t>Registrado</t>
        </is>
      </c>
      <c r="C10" s="9" t="inlineStr">
        <is>
          <t>Llegada: el momento genera una reacción relevante del cliente (sorpresa, duda, emoción)</t>
        </is>
      </c>
      <c r="D10" s="9" t="inlineStr">
        <is>
          <t>La llegada genera reacción del cliente.  [confirma: S, Nota]</t>
        </is>
      </c>
      <c r="E10" s="8">
        <f>COUNTIFS(Codificado!$E$3:$AE$3,"S",Codificado!$E$2:$AE$2,"Sí")+COUNTIFS(Codificado!$E$3:$AE$3,"Nota",Codificado!$E$2:$AE$2,"Sí")</f>
        <v/>
      </c>
      <c r="F10" s="8">
        <f>COUNTIFS(Codificado!$E$3:$AE$3,"S",Codificado!$E$2:$AE$2,"Sí")+COUNTIFS(Codificado!$E$3:$AE$3,"Nota",Codificado!$E$2:$AE$2,"Sí")+COUNTIFS(Codificado!$E$3:$AE$3,"N",Codificado!$E$2:$AE$2,"Sí")</f>
        <v/>
      </c>
      <c r="G10" s="10">
        <f>IFERROR(E10/F10,"-")</f>
        <v/>
      </c>
      <c r="H10" s="8">
        <f>COUNTIFS(Codificado!$E$3:$T$3,"S",Codificado!$E$2:$T$2,"Sí")+COUNTIFS(Codificado!$E$3:$T$3,"Nota",Codificado!$E$2:$T$2,"Sí")</f>
        <v/>
      </c>
      <c r="I10" s="8">
        <f>COUNTIFS(Codificado!$E$3:$T$3,"S",Codificado!$E$2:$T$2,"Sí")+COUNTIFS(Codificado!$E$3:$T$3,"Nota",Codificado!$E$2:$T$2,"Sí")+COUNTIFS(Codificado!$E$3:$T$3,"N",Codificado!$E$2:$T$2,"Sí")</f>
        <v/>
      </c>
      <c r="J10" s="8">
        <f>COUNTIFS(Codificado!$U$3:$AE$3,"S",Codificado!$U$2:$AE$2,"Sí")+COUNTIFS(Codificado!$U$3:$AE$3,"Nota",Codificado!$U$2:$AE$2,"Sí")</f>
        <v/>
      </c>
      <c r="K10" s="8">
        <f>COUNTIFS(Codificado!$U$3:$AE$3,"S",Codificado!$U$2:$AE$2,"Sí")+COUNTIFS(Codificado!$U$3:$AE$3,"Nota",Codificado!$U$2:$AE$2,"Sí")+COUNTIFS(Codificado!$U$3:$AE$3,"N",Codificado!$U$2:$AE$2,"Sí")</f>
        <v/>
      </c>
      <c r="L10" s="9" t="n"/>
    </row>
    <row r="11">
      <c r="A11" s="11" t="inlineStr">
        <is>
          <t>H1</t>
        </is>
      </c>
      <c r="B11" s="11" t="inlineStr">
        <is>
          <t>Observado</t>
        </is>
      </c>
      <c r="C11" s="12" t="inlineStr">
        <is>
          <t>Preguntas de uso en la prueba del servicio (HBO, Netflix, control, voz, apps)</t>
        </is>
      </c>
      <c r="D11" s="12" t="inlineStr">
        <is>
          <t>V10, V14, V16, V17, V25</t>
        </is>
      </c>
      <c r="E11" s="11">
        <f>LEN(D11)-LEN(SUBSTITUTE(D11,"V",""))</f>
        <v/>
      </c>
      <c r="F11" s="11">
        <f>COUNTIF(Codificado!$E$2:$AE$2,"Sí")</f>
        <v/>
      </c>
      <c r="G11" s="13">
        <f>IFERROR(E11/F11,"-")</f>
        <v/>
      </c>
      <c r="H11" s="14" t="n">
        <v>3</v>
      </c>
      <c r="I11" s="14" t="n">
        <v>14</v>
      </c>
      <c r="J11" s="14" t="n">
        <v>2</v>
      </c>
      <c r="K11" s="14" t="n">
        <v>11</v>
      </c>
      <c r="L11" s="12" t="n"/>
    </row>
    <row r="12">
      <c r="A12" s="11" t="inlineStr">
        <is>
          <t>H1</t>
        </is>
      </c>
      <c r="B12" s="11" t="inlineStr">
        <is>
          <t>Observado</t>
        </is>
      </c>
      <c r="C12" s="12" t="inlineStr">
        <is>
          <t>Expresiones de entusiasmo o satisfacción en la prueba o el cierre</t>
        </is>
      </c>
      <c r="D12" s="12" t="inlineStr">
        <is>
          <t>V01, V03, V08, V11, V16</t>
        </is>
      </c>
      <c r="E12" s="11">
        <f>LEN(D12)-LEN(SUBSTITUTE(D12,"V",""))</f>
        <v/>
      </c>
      <c r="F12" s="11">
        <f>COUNTIF(Codificado!$E$2:$AE$2,"Sí")</f>
        <v/>
      </c>
      <c r="G12" s="13">
        <f>IFERROR(E12/F12,"-")</f>
        <v/>
      </c>
      <c r="H12" s="14" t="n">
        <v>5</v>
      </c>
      <c r="I12" s="14" t="n">
        <v>14</v>
      </c>
      <c r="J12" s="14" t="n">
        <v>0</v>
      </c>
      <c r="K12" s="14" t="n">
        <v>11</v>
      </c>
      <c r="L12" s="12" t="n"/>
    </row>
    <row r="13">
      <c r="A13" s="11" t="inlineStr">
        <is>
          <t>H1</t>
        </is>
      </c>
      <c r="B13" s="11" t="inlineStr">
        <is>
          <t>Observado</t>
        </is>
      </c>
      <c r="C13" s="12" t="inlineStr">
        <is>
          <t>Notas de llegada: todas logísticas, ninguna emocional</t>
        </is>
      </c>
      <c r="D13" s="12" t="inlineStr">
        <is>
          <t>V06, V09, V13, V14, V23</t>
        </is>
      </c>
      <c r="E13" s="11">
        <f>LEN(D13)-LEN(SUBSTITUTE(D13,"V",""))</f>
        <v/>
      </c>
      <c r="F13" s="11">
        <f>COUNTIF(Codificado!$E$2:$AE$2,"Sí")</f>
        <v/>
      </c>
      <c r="G13" s="13">
        <f>IFERROR(E13/F13,"-")</f>
        <v/>
      </c>
      <c r="H13" s="14" t="n">
        <v>4</v>
      </c>
      <c r="I13" s="14" t="n">
        <v>14</v>
      </c>
      <c r="J13" s="14" t="n">
        <v>1</v>
      </c>
      <c r="K13" s="14" t="n">
        <v>11</v>
      </c>
      <c r="L13" s="12" t="n"/>
    </row>
    <row r="14" ht="28" customHeight="1">
      <c r="A14" s="7" t="inlineStr">
        <is>
          <t>H2. La experiencia del cliente depende en gran medida de la capacidad del técnico para explicar beneficios, funcionamiento y pasos de la instalación.</t>
        </is>
      </c>
    </row>
    <row r="15">
      <c r="A15" s="8" t="inlineStr">
        <is>
          <t>H2</t>
        </is>
      </c>
      <c r="B15" s="8" t="inlineStr">
        <is>
          <t>Registrado</t>
        </is>
      </c>
      <c r="C15" s="9" t="inlineStr">
        <is>
          <t>Explicaciones claras, correctas y completas</t>
        </is>
      </c>
      <c r="D15" s="9" t="inlineStr">
        <is>
          <t>Si la experiencia depende del técnico y no hay guion, habrá brechas en la explicación proactiva (N = no explicó la Guía).  [confirma: N]</t>
        </is>
      </c>
      <c r="E15" s="8">
        <f>COUNTIFS(Codificado!$E$10:$AE$10,"N",Codificado!$E$2:$AE$2,"Sí")</f>
        <v/>
      </c>
      <c r="F15" s="8">
        <f>COUNTIFS(Codificado!$E$10:$AE$10,"N",Codificado!$E$2:$AE$2,"Sí")+COUNTIFS(Codificado!$E$10:$AE$10,"S",Codificado!$E$2:$AE$2,"Sí")</f>
        <v/>
      </c>
      <c r="G15" s="10">
        <f>IFERROR(E15/F15,"-")</f>
        <v/>
      </c>
      <c r="H15" s="8">
        <f>COUNTIFS(Codificado!$E$10:$T$10,"N",Codificado!$E$2:$T$2,"Sí")</f>
        <v/>
      </c>
      <c r="I15" s="8">
        <f>COUNTIFS(Codificado!$E$10:$T$10,"N",Codificado!$E$2:$T$2,"Sí")+COUNTIFS(Codificado!$E$10:$T$10,"S",Codificado!$E$2:$T$2,"Sí")</f>
        <v/>
      </c>
      <c r="J15" s="8">
        <f>COUNTIFS(Codificado!$U$10:$AE$10,"N",Codificado!$U$2:$AE$2,"Sí")</f>
        <v/>
      </c>
      <c r="K15" s="8">
        <f>COUNTIFS(Codificado!$U$10:$AE$10,"N",Codificado!$U$2:$AE$2,"Sí")+COUNTIFS(Codificado!$U$10:$AE$10,"S",Codificado!$U$2:$AE$2,"Sí")</f>
        <v/>
      </c>
      <c r="L15" s="9" t="n"/>
    </row>
    <row r="16">
      <c r="A16" s="8" t="inlineStr">
        <is>
          <t>H2</t>
        </is>
      </c>
      <c r="B16" s="8" t="inlineStr">
        <is>
          <t>Registrado</t>
        </is>
      </c>
      <c r="C16" s="9" t="inlineStr">
        <is>
          <t>Ante preguntas: responde correctamente y de manera completa</t>
        </is>
      </c>
      <c r="D16" s="9" t="inlineStr">
        <is>
          <t>El técnico resuelve las dudas cuando el cliente pregunta.  [confirma: S]</t>
        </is>
      </c>
      <c r="E16" s="8">
        <f>COUNTIFS(Codificado!$E$8:$AE$8,"S",Codificado!$E$2:$AE$2,"Sí")</f>
        <v/>
      </c>
      <c r="F16" s="8">
        <f>COUNTIFS(Codificado!$E$8:$AE$8,"S",Codificado!$E$2:$AE$2,"Sí")+COUNTIFS(Codificado!$E$8:$AE$8,"N",Codificado!$E$2:$AE$2,"Sí")</f>
        <v/>
      </c>
      <c r="G16" s="10">
        <f>IFERROR(E16/F16,"-")</f>
        <v/>
      </c>
      <c r="H16" s="8">
        <f>COUNTIFS(Codificado!$E$8:$T$8,"S",Codificado!$E$2:$T$2,"Sí")</f>
        <v/>
      </c>
      <c r="I16" s="8">
        <f>COUNTIFS(Codificado!$E$8:$T$8,"S",Codificado!$E$2:$T$2,"Sí")+COUNTIFS(Codificado!$E$8:$T$8,"N",Codificado!$E$2:$T$2,"Sí")</f>
        <v/>
      </c>
      <c r="J16" s="8">
        <f>COUNTIFS(Codificado!$U$8:$AE$8,"S",Codificado!$U$2:$AE$2,"Sí")</f>
        <v/>
      </c>
      <c r="K16" s="8">
        <f>COUNTIFS(Codificado!$U$8:$AE$8,"S",Codificado!$U$2:$AE$2,"Sí")+COUNTIFS(Codificado!$U$8:$AE$8,"N",Codificado!$U$2:$AE$2,"Sí")</f>
        <v/>
      </c>
      <c r="L16" s="9" t="n"/>
    </row>
    <row r="17">
      <c r="A17" s="8" t="inlineStr">
        <is>
          <t>H2</t>
        </is>
      </c>
      <c r="B17" s="8" t="inlineStr">
        <is>
          <t>Registrado</t>
        </is>
      </c>
      <c r="C17" s="9" t="inlineStr">
        <is>
          <t>Ante preguntas reiteradas sobre el mismo tema, reformula y adapta su lenguaje</t>
        </is>
      </c>
      <c r="D17" s="9" t="inlineStr">
        <is>
          <t>Ante preguntas reiteradas, el técnico adapta el lenguaje.  [confirma: S]</t>
        </is>
      </c>
      <c r="E17" s="8">
        <f>COUNTIFS(Codificado!$E$9:$AE$9,"S",Codificado!$E$2:$AE$2,"Sí")</f>
        <v/>
      </c>
      <c r="F17" s="8">
        <f>COUNTIFS(Codificado!$E$9:$AE$9,"S",Codificado!$E$2:$AE$2,"Sí")+COUNTIFS(Codificado!$E$9:$AE$9,"N",Codificado!$E$2:$AE$2,"Sí")</f>
        <v/>
      </c>
      <c r="G17" s="10">
        <f>IFERROR(E17/F17,"-")</f>
        <v/>
      </c>
      <c r="H17" s="8">
        <f>COUNTIFS(Codificado!$E$9:$T$9,"S",Codificado!$E$2:$T$2,"Sí")</f>
        <v/>
      </c>
      <c r="I17" s="8">
        <f>COUNTIFS(Codificado!$E$9:$T$9,"S",Codificado!$E$2:$T$2,"Sí")+COUNTIFS(Codificado!$E$9:$T$9,"N",Codificado!$E$2:$T$2,"Sí")</f>
        <v/>
      </c>
      <c r="J17" s="8">
        <f>COUNTIFS(Codificado!$U$9:$AE$9,"S",Codificado!$U$2:$AE$2,"Sí")</f>
        <v/>
      </c>
      <c r="K17" s="8">
        <f>COUNTIFS(Codificado!$U$9:$AE$9,"S",Codificado!$U$2:$AE$2,"Sí")+COUNTIFS(Codificado!$U$9:$AE$9,"N",Codificado!$U$2:$AE$2,"Sí")</f>
        <v/>
      </c>
      <c r="L17" s="9" t="n"/>
    </row>
    <row r="18">
      <c r="A18" s="8" t="inlineStr">
        <is>
          <t>H2</t>
        </is>
      </c>
      <c r="B18" s="8" t="inlineStr">
        <is>
          <t>Registrado</t>
        </is>
      </c>
      <c r="C18" s="9" t="inlineStr">
        <is>
          <t>Demuestra empatía y contención</t>
        </is>
      </c>
      <c r="D18" s="9" t="inlineStr">
        <is>
          <t>El técnico demuestra empatía y contención.  [confirma: S]</t>
        </is>
      </c>
      <c r="E18" s="8">
        <f>COUNTIFS(Codificado!$E$11:$AE$11,"S",Codificado!$E$2:$AE$2,"Sí")</f>
        <v/>
      </c>
      <c r="F18" s="8">
        <f>COUNTIFS(Codificado!$E$11:$AE$11,"S",Codificado!$E$2:$AE$2,"Sí")+COUNTIFS(Codificado!$E$11:$AE$11,"N",Codificado!$E$2:$AE$2,"Sí")</f>
        <v/>
      </c>
      <c r="G18" s="10">
        <f>IFERROR(E18/F18,"-")</f>
        <v/>
      </c>
      <c r="H18" s="8">
        <f>COUNTIFS(Codificado!$E$11:$T$11,"S",Codificado!$E$2:$T$2,"Sí")</f>
        <v/>
      </c>
      <c r="I18" s="8">
        <f>COUNTIFS(Codificado!$E$11:$T$11,"S",Codificado!$E$2:$T$2,"Sí")+COUNTIFS(Codificado!$E$11:$T$11,"N",Codificado!$E$2:$T$2,"Sí")</f>
        <v/>
      </c>
      <c r="J18" s="8">
        <f>COUNTIFS(Codificado!$U$11:$AE$11,"S",Codificado!$U$2:$AE$2,"Sí")</f>
        <v/>
      </c>
      <c r="K18" s="8">
        <f>COUNTIFS(Codificado!$U$11:$AE$11,"S",Codificado!$U$2:$AE$2,"Sí")+COUNTIFS(Codificado!$U$11:$AE$11,"N",Codificado!$U$2:$AE$2,"Sí")</f>
        <v/>
      </c>
      <c r="L18" s="9" t="n"/>
    </row>
    <row r="19">
      <c r="A19" s="11" t="inlineStr">
        <is>
          <t>H2</t>
        </is>
      </c>
      <c r="B19" s="11" t="inlineStr">
        <is>
          <t>Observado</t>
        </is>
      </c>
      <c r="C19" s="12" t="inlineStr">
        <is>
          <t>Dudas sobre elementos que no se explicaron (grilla, Home, accesos directos, vincular el control, voz)</t>
        </is>
      </c>
      <c r="D19" s="12" t="inlineStr">
        <is>
          <t>V06, V08, V14, V19, V25</t>
        </is>
      </c>
      <c r="E19" s="11">
        <f>LEN(D19)-LEN(SUBSTITUTE(D19,"V",""))</f>
        <v/>
      </c>
      <c r="F19" s="11">
        <f>COUNTIF(Codificado!$E$2:$AE$2,"Sí")</f>
        <v/>
      </c>
      <c r="G19" s="13">
        <f>IFERROR(E19/F19,"-")</f>
        <v/>
      </c>
      <c r="H19" s="14" t="n">
        <v>3</v>
      </c>
      <c r="I19" s="14" t="n">
        <v>14</v>
      </c>
      <c r="J19" s="14" t="n">
        <v>2</v>
      </c>
      <c r="K19" s="14" t="n">
        <v>11</v>
      </c>
      <c r="L19" s="12" t="n"/>
    </row>
    <row r="20">
      <c r="A20" s="11" t="inlineStr">
        <is>
          <t>H2</t>
        </is>
      </c>
      <c r="B20" s="11" t="inlineStr">
        <is>
          <t>Observado</t>
        </is>
      </c>
      <c r="C20" s="12" t="inlineStr">
        <is>
          <t>Visitas con explicación de Home / Guía / Menú</t>
        </is>
      </c>
      <c r="D20" s="12" t="inlineStr">
        <is>
          <t>V05, V09, V17</t>
        </is>
      </c>
      <c r="E20" s="11">
        <f>LEN(D20)-LEN(SUBSTITUTE(D20,"V",""))</f>
        <v/>
      </c>
      <c r="F20" s="11">
        <f>COUNTIF(Codificado!$E$2:$AE$2,"Sí")</f>
        <v/>
      </c>
      <c r="G20" s="13">
        <f>IFERROR(E20/F20,"-")</f>
        <v/>
      </c>
      <c r="H20" s="14" t="n">
        <v>2</v>
      </c>
      <c r="I20" s="14" t="n">
        <v>14</v>
      </c>
      <c r="J20" s="14" t="n">
        <v>1</v>
      </c>
      <c r="K20" s="14" t="n">
        <v>11</v>
      </c>
      <c r="L20" s="12" t="n"/>
    </row>
    <row r="21" ht="28" customHeight="1">
      <c r="A21" s="7" t="inlineStr">
        <is>
          <t>H3. Existen barreras operativas y administrativas que afectan la fluidez de la instalación.</t>
        </is>
      </c>
    </row>
    <row r="22">
      <c r="A22" s="8" t="inlineStr">
        <is>
          <t>H3</t>
        </is>
      </c>
      <c r="B22" s="8" t="inlineStr">
        <is>
          <t>Registrado</t>
        </is>
      </c>
      <c r="C22" s="9" t="inlineStr">
        <is>
          <t>¿El técnico necesitó reintentar la instalación?</t>
        </is>
      </c>
      <c r="D22" s="9" t="inlineStr">
        <is>
          <t>Si hay barreras operativas, el técnico tendrá que reintentar la instalación.  [confirma: S]</t>
        </is>
      </c>
      <c r="E22" s="8">
        <f>COUNTIFS(Codificado!$E$12:$AE$12,"S",Codificado!$E$2:$AE$2,"Sí")</f>
        <v/>
      </c>
      <c r="F22" s="8">
        <f>COUNTIFS(Codificado!$E$12:$AE$12,"S",Codificado!$E$2:$AE$2,"Sí")+COUNTIFS(Codificado!$E$12:$AE$12,"N",Codificado!$E$2:$AE$2,"Sí")</f>
        <v/>
      </c>
      <c r="G22" s="10">
        <f>IFERROR(E22/F22,"-")</f>
        <v/>
      </c>
      <c r="H22" s="8">
        <f>COUNTIFS(Codificado!$E$12:$T$12,"S",Codificado!$E$2:$T$2,"Sí")</f>
        <v/>
      </c>
      <c r="I22" s="8">
        <f>COUNTIFS(Codificado!$E$12:$T$12,"S",Codificado!$E$2:$T$2,"Sí")+COUNTIFS(Codificado!$E$12:$T$12,"N",Codificado!$E$2:$T$2,"Sí")</f>
        <v/>
      </c>
      <c r="J22" s="8">
        <f>COUNTIFS(Codificado!$U$12:$AE$12,"S",Codificado!$U$2:$AE$2,"Sí")</f>
        <v/>
      </c>
      <c r="K22" s="8">
        <f>COUNTIFS(Codificado!$U$12:$AE$12,"S",Codificado!$U$2:$AE$2,"Sí")+COUNTIFS(Codificado!$U$12:$AE$12,"N",Codificado!$U$2:$AE$2,"Sí")</f>
        <v/>
      </c>
      <c r="L22" s="9" t="n"/>
    </row>
    <row r="23">
      <c r="A23" s="8" t="inlineStr">
        <is>
          <t>H3</t>
        </is>
      </c>
      <c r="B23" s="8" t="inlineStr">
        <is>
          <t>Registrado</t>
        </is>
      </c>
      <c r="C23" s="9" t="inlineStr">
        <is>
          <t>¿El técnico necesitó pedir soporte técnico durante la visita?</t>
        </is>
      </c>
      <c r="D23" s="9" t="inlineStr">
        <is>
          <t>El técnico necesitará pedir soporte durante la visita.  [confirma: S]</t>
        </is>
      </c>
      <c r="E23" s="8">
        <f>COUNTIFS(Codificado!$E$13:$AE$13,"S",Codificado!$E$2:$AE$2,"Sí")</f>
        <v/>
      </c>
      <c r="F23" s="8">
        <f>COUNTIFS(Codificado!$E$13:$AE$13,"S",Codificado!$E$2:$AE$2,"Sí")+COUNTIFS(Codificado!$E$13:$AE$13,"N",Codificado!$E$2:$AE$2,"Sí")</f>
        <v/>
      </c>
      <c r="G23" s="10">
        <f>IFERROR(E23/F23,"-")</f>
        <v/>
      </c>
      <c r="H23" s="8">
        <f>COUNTIFS(Codificado!$E$13:$T$13,"S",Codificado!$E$2:$T$2,"Sí")</f>
        <v/>
      </c>
      <c r="I23" s="8">
        <f>COUNTIFS(Codificado!$E$13:$T$13,"S",Codificado!$E$2:$T$2,"Sí")+COUNTIFS(Codificado!$E$13:$T$13,"N",Codificado!$E$2:$T$2,"Sí")</f>
        <v/>
      </c>
      <c r="J23" s="8">
        <f>COUNTIFS(Codificado!$U$13:$AE$13,"S",Codificado!$U$2:$AE$2,"Sí")</f>
        <v/>
      </c>
      <c r="K23" s="8">
        <f>COUNTIFS(Codificado!$U$13:$AE$13,"S",Codificado!$U$2:$AE$2,"Sí")+COUNTIFS(Codificado!$U$13:$AE$13,"N",Codificado!$U$2:$AE$2,"Sí")</f>
        <v/>
      </c>
      <c r="L23" s="9" t="n"/>
    </row>
    <row r="24">
      <c r="A24" s="8" t="inlineStr">
        <is>
          <t>H3</t>
        </is>
      </c>
      <c r="B24" s="8" t="inlineStr">
        <is>
          <t>Registrado</t>
        </is>
      </c>
      <c r="C24" s="9" t="inlineStr">
        <is>
          <t>¿El dispositivo se reconoce inmediatamente?</t>
        </is>
      </c>
      <c r="D24" s="9" t="inlineStr">
        <is>
          <t>El dispositivo no se reconocerá de inmediato (N o nota de falla).  [confirma: N, Nota]</t>
        </is>
      </c>
      <c r="E24" s="8">
        <f>COUNTIFS(Codificado!$E$16:$AE$16,"N",Codificado!$E$2:$AE$2,"Sí")+COUNTIFS(Codificado!$E$16:$AE$16,"Nota",Codificado!$E$2:$AE$2,"Sí")</f>
        <v/>
      </c>
      <c r="F24" s="8">
        <f>COUNTIFS(Codificado!$E$16:$AE$16,"N",Codificado!$E$2:$AE$2,"Sí")+COUNTIFS(Codificado!$E$16:$AE$16,"Nota",Codificado!$E$2:$AE$2,"Sí")+COUNTIFS(Codificado!$E$16:$AE$16,"S",Codificado!$E$2:$AE$2,"Sí")</f>
        <v/>
      </c>
      <c r="G24" s="10">
        <f>IFERROR(E24/F24,"-")</f>
        <v/>
      </c>
      <c r="H24" s="8">
        <f>COUNTIFS(Codificado!$E$16:$T$16,"N",Codificado!$E$2:$T$2,"Sí")+COUNTIFS(Codificado!$E$16:$T$16,"Nota",Codificado!$E$2:$T$2,"Sí")</f>
        <v/>
      </c>
      <c r="I24" s="8">
        <f>COUNTIFS(Codificado!$E$16:$T$16,"N",Codificado!$E$2:$T$2,"Sí")+COUNTIFS(Codificado!$E$16:$T$16,"Nota",Codificado!$E$2:$T$2,"Sí")+COUNTIFS(Codificado!$E$16:$T$16,"S",Codificado!$E$2:$T$2,"Sí")</f>
        <v/>
      </c>
      <c r="J24" s="8">
        <f>COUNTIFS(Codificado!$U$16:$AE$16,"N",Codificado!$U$2:$AE$2,"Sí")+COUNTIFS(Codificado!$U$16:$AE$16,"Nota",Codificado!$U$2:$AE$2,"Sí")</f>
        <v/>
      </c>
      <c r="K24" s="8">
        <f>COUNTIFS(Codificado!$U$16:$AE$16,"N",Codificado!$U$2:$AE$2,"Sí")+COUNTIFS(Codificado!$U$16:$AE$16,"Nota",Codificado!$U$2:$AE$2,"Sí")+COUNTIFS(Codificado!$U$16:$AE$16,"S",Codificado!$U$2:$AE$2,"Sí")</f>
        <v/>
      </c>
      <c r="L24" s="9" t="n"/>
    </row>
    <row r="25">
      <c r="A25" s="8" t="inlineStr">
        <is>
          <t>H3</t>
        </is>
      </c>
      <c r="B25" s="8" t="inlineStr">
        <is>
          <t>Registrado</t>
        </is>
      </c>
      <c r="C25" s="9" t="inlineStr">
        <is>
          <t>¿El cliente reclama el reemplazo de decos no declarados?</t>
        </is>
      </c>
      <c r="D25" s="9" t="inlineStr">
        <is>
          <t>El cliente reclamará el reemplazo de decos no declarados.  [confirma: S]</t>
        </is>
      </c>
      <c r="E25" s="8">
        <f>COUNTIFS(Codificado!$E$15:$AE$15,"S",Codificado!$E$2:$AE$2,"Sí")</f>
        <v/>
      </c>
      <c r="F25" s="8">
        <f>COUNTIFS(Codificado!$E$15:$AE$15,"S",Codificado!$E$2:$AE$2,"Sí")+COUNTIFS(Codificado!$E$15:$AE$15,"N",Codificado!$E$2:$AE$2,"Sí")</f>
        <v/>
      </c>
      <c r="G25" s="10">
        <f>IFERROR(E25/F25,"-")</f>
        <v/>
      </c>
      <c r="H25" s="8">
        <f>COUNTIFS(Codificado!$E$15:$T$15,"S",Codificado!$E$2:$T$2,"Sí")</f>
        <v/>
      </c>
      <c r="I25" s="8">
        <f>COUNTIFS(Codificado!$E$15:$T$15,"S",Codificado!$E$2:$T$2,"Sí")+COUNTIFS(Codificado!$E$15:$T$15,"N",Codificado!$E$2:$T$2,"Sí")</f>
        <v/>
      </c>
      <c r="J25" s="8">
        <f>COUNTIFS(Codificado!$U$15:$AE$15,"S",Codificado!$U$2:$AE$2,"Sí")</f>
        <v/>
      </c>
      <c r="K25" s="8">
        <f>COUNTIFS(Codificado!$U$15:$AE$15,"S",Codificado!$U$2:$AE$2,"Sí")+COUNTIFS(Codificado!$U$15:$AE$15,"N",Codificado!$U$2:$AE$2,"Sí")</f>
        <v/>
      </c>
      <c r="L25" s="9" t="n"/>
    </row>
    <row r="26">
      <c r="A26" s="8" t="inlineStr">
        <is>
          <t>H3</t>
        </is>
      </c>
      <c r="B26" s="8" t="inlineStr">
        <is>
          <t>Registrado</t>
        </is>
      </c>
      <c r="C26" s="9" t="inlineStr">
        <is>
          <t>Conciliación de los nuevos decos</t>
        </is>
      </c>
      <c r="D26" s="9" t="inlineStr">
        <is>
          <t>La conciliación no se completará.  [confirma: N]</t>
        </is>
      </c>
      <c r="E26" s="8">
        <f>COUNTIFS(Codificado!$E$19:$AE$19,"N",Codificado!$E$2:$AE$2,"Sí")</f>
        <v/>
      </c>
      <c r="F26" s="8">
        <f>COUNTIFS(Codificado!$E$19:$AE$19,"N",Codificado!$E$2:$AE$2,"Sí")+COUNTIFS(Codificado!$E$19:$AE$19,"S",Codificado!$E$2:$AE$2,"Sí")</f>
        <v/>
      </c>
      <c r="G26" s="10">
        <f>IFERROR(E26/F26,"-")</f>
        <v/>
      </c>
      <c r="H26" s="8">
        <f>COUNTIFS(Codificado!$E$19:$T$19,"N",Codificado!$E$2:$T$2,"Sí")</f>
        <v/>
      </c>
      <c r="I26" s="8">
        <f>COUNTIFS(Codificado!$E$19:$T$19,"N",Codificado!$E$2:$T$2,"Sí")+COUNTIFS(Codificado!$E$19:$T$19,"S",Codificado!$E$2:$T$2,"Sí")</f>
        <v/>
      </c>
      <c r="J26" s="8">
        <f>COUNTIFS(Codificado!$U$19:$AE$19,"N",Codificado!$U$2:$AE$2,"Sí")</f>
        <v/>
      </c>
      <c r="K26" s="8">
        <f>COUNTIFS(Codificado!$U$19:$AE$19,"N",Codificado!$U$2:$AE$2,"Sí")+COUNTIFS(Codificado!$U$19:$AE$19,"S",Codificado!$U$2:$AE$2,"Sí")</f>
        <v/>
      </c>
      <c r="L26" s="9" t="n"/>
    </row>
    <row r="27">
      <c r="A27" s="11" t="inlineStr">
        <is>
          <t>H3</t>
        </is>
      </c>
      <c r="B27" s="11" t="inlineStr">
        <is>
          <t>Observado</t>
        </is>
      </c>
      <c r="C27" s="12" t="inlineStr">
        <is>
          <t>Discrepancia entre los decos del sistema y los del hogar</t>
        </is>
      </c>
      <c r="D27" s="12" t="inlineStr">
        <is>
          <t>V01, V05, V22</t>
        </is>
      </c>
      <c r="E27" s="11">
        <f>LEN(D27)-LEN(SUBSTITUTE(D27,"V",""))</f>
        <v/>
      </c>
      <c r="F27" s="11">
        <f>COUNTIF(Codificado!$E$2:$AE$2,"Sí")</f>
        <v/>
      </c>
      <c r="G27" s="13">
        <f>IFERROR(E27/F27,"-")</f>
        <v/>
      </c>
      <c r="H27" s="14" t="n">
        <v>2</v>
      </c>
      <c r="I27" s="14" t="n">
        <v>14</v>
      </c>
      <c r="J27" s="14" t="n">
        <v>1</v>
      </c>
      <c r="K27" s="14" t="n">
        <v>11</v>
      </c>
      <c r="L27" s="12" t="n"/>
    </row>
    <row r="28">
      <c r="A28" s="11" t="inlineStr">
        <is>
          <t>H3</t>
        </is>
      </c>
      <c r="B28" s="11" t="inlineStr">
        <is>
          <t>Observado</t>
        </is>
      </c>
      <c r="C28" s="12" t="inlineStr">
        <is>
          <t>HDMI o televisor que no funcionan (V27 figura S, con nota de HDMI)</t>
        </is>
      </c>
      <c r="D28" s="12" t="inlineStr">
        <is>
          <t>V03, V23, V27</t>
        </is>
      </c>
      <c r="E28" s="11">
        <f>LEN(D28)-LEN(SUBSTITUTE(D28,"V",""))</f>
        <v/>
      </c>
      <c r="F28" s="11">
        <f>COUNTIF(Codificado!$E$2:$AE$2,"Sí")</f>
        <v/>
      </c>
      <c r="G28" s="13">
        <f>IFERROR(E28/F28,"-")</f>
        <v/>
      </c>
      <c r="H28" s="14" t="n">
        <v>1</v>
      </c>
      <c r="I28" s="14" t="n">
        <v>14</v>
      </c>
      <c r="J28" s="14" t="n">
        <v>2</v>
      </c>
      <c r="K28" s="14" t="n">
        <v>11</v>
      </c>
      <c r="L28" s="12" t="n"/>
    </row>
    <row r="29">
      <c r="A29" s="11" t="inlineStr">
        <is>
          <t>H3</t>
        </is>
      </c>
      <c r="B29" s="11" t="inlineStr">
        <is>
          <t>Observado</t>
        </is>
      </c>
      <c r="C29" s="12" t="inlineStr">
        <is>
          <t>Conciliación completada en el viaje al siguiente cliente</t>
        </is>
      </c>
      <c r="D29" s="12" t="inlineStr">
        <is>
          <t>V19, V23</t>
        </is>
      </c>
      <c r="E29" s="11">
        <f>LEN(D29)-LEN(SUBSTITUTE(D29,"V",""))</f>
        <v/>
      </c>
      <c r="F29" s="11">
        <f>COUNTIF(Codificado!$E$2:$AE$2,"Sí")</f>
        <v/>
      </c>
      <c r="G29" s="13">
        <f>IFERROR(E29/F29,"-")</f>
        <v/>
      </c>
      <c r="H29" s="14" t="n">
        <v>0</v>
      </c>
      <c r="I29" s="14" t="n">
        <v>14</v>
      </c>
      <c r="J29" s="14" t="n">
        <v>2</v>
      </c>
      <c r="K29" s="14" t="n">
        <v>11</v>
      </c>
      <c r="L29" s="12" t="n"/>
    </row>
    <row r="30" ht="28" customHeight="1">
      <c r="A30" s="7" t="inlineStr">
        <is>
          <t>H4. Parte de las fricciones no están asociadas al dispositivo, sino a limitaciones de gestión y registro (suscripciones, credenciales).</t>
        </is>
      </c>
    </row>
    <row r="31">
      <c r="A31" s="8" t="inlineStr">
        <is>
          <t>H4</t>
        </is>
      </c>
      <c r="B31" s="8" t="inlineStr">
        <is>
          <t>Registrado</t>
        </is>
      </c>
      <c r="C31" s="9" t="inlineStr">
        <is>
          <t>Las apps de terceros (Netflix/YouTube) se mantienen logueadas</t>
        </is>
      </c>
      <c r="D31" s="9" t="inlineStr">
        <is>
          <t>Las apps de terceros (Netflix, YouTube) no quedan logueadas después del cambio.  [confirma: N]</t>
        </is>
      </c>
      <c r="E31" s="8">
        <f>COUNTIFS(Codificado!$E$23:$AE$23,"N",Codificado!$E$2:$AE$2,"Sí")</f>
        <v/>
      </c>
      <c r="F31" s="8">
        <f>COUNTIFS(Codificado!$E$23:$AE$23,"N",Codificado!$E$2:$AE$2,"Sí")+COUNTIFS(Codificado!$E$23:$AE$23,"S",Codificado!$E$2:$AE$2,"Sí")</f>
        <v/>
      </c>
      <c r="G31" s="10">
        <f>IFERROR(E31/F31,"-")</f>
        <v/>
      </c>
      <c r="H31" s="8">
        <f>COUNTIFS(Codificado!$E$23:$T$23,"N",Codificado!$E$2:$T$2,"Sí")</f>
        <v/>
      </c>
      <c r="I31" s="8">
        <f>COUNTIFS(Codificado!$E$23:$T$23,"N",Codificado!$E$2:$T$2,"Sí")+COUNTIFS(Codificado!$E$23:$T$23,"S",Codificado!$E$2:$T$2,"Sí")</f>
        <v/>
      </c>
      <c r="J31" s="8">
        <f>COUNTIFS(Codificado!$U$23:$AE$23,"N",Codificado!$U$2:$AE$2,"Sí")</f>
        <v/>
      </c>
      <c r="K31" s="8">
        <f>COUNTIFS(Codificado!$U$23:$AE$23,"N",Codificado!$U$2:$AE$2,"Sí")+COUNTIFS(Codificado!$U$23:$AE$23,"S",Codificado!$U$2:$AE$2,"Sí")</f>
        <v/>
      </c>
      <c r="L31" s="9" t="n"/>
    </row>
    <row r="32">
      <c r="A32" s="8" t="inlineStr">
        <is>
          <t>H4</t>
        </is>
      </c>
      <c r="B32" s="8" t="inlineStr">
        <is>
          <t>Registrado</t>
        </is>
      </c>
      <c r="C32" s="9" t="inlineStr">
        <is>
          <t>Las suscripciones previamente contratadas se mantienen activas</t>
        </is>
      </c>
      <c r="D32" s="9" t="inlineStr">
        <is>
          <t>Las suscripciones Movistar contratadas se pierden (alerta de polaridad).  [confirma: N]</t>
        </is>
      </c>
      <c r="E32" s="8">
        <f>COUNTIFS(Codificado!$E$20:$AE$20,"N",Codificado!$E$2:$AE$2,"Sí")</f>
        <v/>
      </c>
      <c r="F32" s="8">
        <f>COUNTIFS(Codificado!$E$20:$AE$20,"N",Codificado!$E$2:$AE$2,"Sí")+COUNTIFS(Codificado!$E$20:$AE$20,"S",Codificado!$E$2:$AE$2,"Sí")</f>
        <v/>
      </c>
      <c r="G32" s="10">
        <f>IFERROR(E32/F32,"-")</f>
        <v/>
      </c>
      <c r="H32" s="8">
        <f>COUNTIFS(Codificado!$E$20:$T$20,"N",Codificado!$E$2:$T$2,"Sí")</f>
        <v/>
      </c>
      <c r="I32" s="8">
        <f>COUNTIFS(Codificado!$E$20:$T$20,"N",Codificado!$E$2:$T$2,"Sí")+COUNTIFS(Codificado!$E$20:$T$20,"S",Codificado!$E$2:$T$2,"Sí")</f>
        <v/>
      </c>
      <c r="J32" s="8">
        <f>COUNTIFS(Codificado!$U$20:$AE$20,"N",Codificado!$U$2:$AE$2,"Sí")</f>
        <v/>
      </c>
      <c r="K32" s="8">
        <f>COUNTIFS(Codificado!$U$20:$AE$20,"N",Codificado!$U$2:$AE$2,"Sí")+COUNTIFS(Codificado!$U$20:$AE$20,"S",Codificado!$U$2:$AE$2,"Sí")</f>
        <v/>
      </c>
      <c r="L32" s="15" t="inlineStr">
        <is>
          <t>Polaridad a validar: leer con cautela</t>
        </is>
      </c>
    </row>
    <row r="33">
      <c r="A33" s="8" t="inlineStr">
        <is>
          <t>H4</t>
        </is>
      </c>
      <c r="B33" s="8" t="inlineStr">
        <is>
          <t>Registrado</t>
        </is>
      </c>
      <c r="C33" s="9" t="inlineStr">
        <is>
          <t>Las credenciales de las suscripciones se cargan automáticamente o el usuario las recuerda sin expresar disgusto</t>
        </is>
      </c>
      <c r="D33" s="9" t="inlineStr">
        <is>
          <t>Las credenciales no se cargan solas y el cliente no las recuerda (alerta de polaridad).  [confirma: N]</t>
        </is>
      </c>
      <c r="E33" s="8">
        <f>COUNTIFS(Codificado!$E$22:$AE$22,"N",Codificado!$E$2:$AE$2,"Sí")</f>
        <v/>
      </c>
      <c r="F33" s="8">
        <f>COUNTIFS(Codificado!$E$22:$AE$22,"N",Codificado!$E$2:$AE$2,"Sí")+COUNTIFS(Codificado!$E$22:$AE$22,"S",Codificado!$E$2:$AE$2,"Sí")</f>
        <v/>
      </c>
      <c r="G33" s="10">
        <f>IFERROR(E33/F33,"-")</f>
        <v/>
      </c>
      <c r="H33" s="8">
        <f>COUNTIFS(Codificado!$E$22:$T$22,"N",Codificado!$E$2:$T$2,"Sí")</f>
        <v/>
      </c>
      <c r="I33" s="8">
        <f>COUNTIFS(Codificado!$E$22:$T$22,"N",Codificado!$E$2:$T$2,"Sí")+COUNTIFS(Codificado!$E$22:$T$22,"S",Codificado!$E$2:$T$2,"Sí")</f>
        <v/>
      </c>
      <c r="J33" s="8">
        <f>COUNTIFS(Codificado!$U$22:$AE$22,"N",Codificado!$U$2:$AE$2,"Sí")</f>
        <v/>
      </c>
      <c r="K33" s="8">
        <f>COUNTIFS(Codificado!$U$22:$AE$22,"N",Codificado!$U$2:$AE$2,"Sí")+COUNTIFS(Codificado!$U$22:$AE$22,"S",Codificado!$U$2:$AE$2,"Sí")</f>
        <v/>
      </c>
      <c r="L33" s="15" t="inlineStr">
        <is>
          <t>Polaridad a validar: leer con cautela</t>
        </is>
      </c>
    </row>
    <row r="34">
      <c r="A34" s="11" t="inlineStr">
        <is>
          <t>H4</t>
        </is>
      </c>
      <c r="B34" s="11" t="inlineStr">
        <is>
          <t>Observado</t>
        </is>
      </c>
      <c r="C34" s="12" t="inlineStr">
        <is>
          <t>Fricción con apps de terceros o credenciales (sin sesión, modo visita, carga asistida)</t>
        </is>
      </c>
      <c r="D34" s="12" t="inlineStr">
        <is>
          <t>V05, V06, V09, V16, V22, V23, V25, V27</t>
        </is>
      </c>
      <c r="E34" s="11">
        <f>LEN(D34)-LEN(SUBSTITUTE(D34,"V",""))</f>
        <v/>
      </c>
      <c r="F34" s="11">
        <f>COUNTIF(Codificado!$E$2:$AE$2,"Sí")</f>
        <v/>
      </c>
      <c r="G34" s="13">
        <f>IFERROR(E34/F34,"-")</f>
        <v/>
      </c>
      <c r="H34" s="14" t="n">
        <v>4</v>
      </c>
      <c r="I34" s="14" t="n">
        <v>14</v>
      </c>
      <c r="J34" s="14" t="n">
        <v>4</v>
      </c>
      <c r="K34" s="14" t="n">
        <v>11</v>
      </c>
      <c r="L34" s="12" t="n"/>
    </row>
    <row r="35">
      <c r="A35" s="11" t="inlineStr">
        <is>
          <t>H4</t>
        </is>
      </c>
      <c r="B35" s="11" t="inlineStr">
        <is>
          <t>Observado</t>
        </is>
      </c>
      <c r="C35" s="12" t="inlineStr">
        <is>
          <t>Packs Movistar visibles después del cambio (fútbol)</t>
        </is>
      </c>
      <c r="D35" s="12" t="inlineStr">
        <is>
          <t>V04, V11, V13</t>
        </is>
      </c>
      <c r="E35" s="11">
        <f>LEN(D35)-LEN(SUBSTITUTE(D35,"V",""))</f>
        <v/>
      </c>
      <c r="F35" s="11">
        <f>COUNTIF(Codificado!$E$2:$AE$2,"Sí")</f>
        <v/>
      </c>
      <c r="G35" s="13">
        <f>IFERROR(E35/F35,"-")</f>
        <v/>
      </c>
      <c r="H35" s="14" t="n">
        <v>3</v>
      </c>
      <c r="I35" s="14" t="n">
        <v>14</v>
      </c>
      <c r="J35" s="14" t="n">
        <v>0</v>
      </c>
      <c r="K35" s="14" t="n">
        <v>11</v>
      </c>
      <c r="L35" s="12" t="n"/>
    </row>
    <row r="36">
      <c r="A36" s="11" t="inlineStr">
        <is>
          <t>H4</t>
        </is>
      </c>
      <c r="B36" s="11" t="inlineStr">
        <is>
          <t>Observado</t>
        </is>
      </c>
      <c r="C36" s="12" t="inlineStr">
        <is>
          <t>Delegación de la carga de apps en un familiar (hija, nieto)</t>
        </is>
      </c>
      <c r="D36" s="12" t="inlineStr">
        <is>
          <t>V05, V22</t>
        </is>
      </c>
      <c r="E36" s="11">
        <f>LEN(D36)-LEN(SUBSTITUTE(D36,"V",""))</f>
        <v/>
      </c>
      <c r="F36" s="11">
        <f>COUNTIF(Codificado!$E$2:$AE$2,"Sí")</f>
        <v/>
      </c>
      <c r="G36" s="13">
        <f>IFERROR(E36/F36,"-")</f>
        <v/>
      </c>
      <c r="H36" s="14" t="n">
        <v>1</v>
      </c>
      <c r="I36" s="14" t="n">
        <v>14</v>
      </c>
      <c r="J36" s="14" t="n">
        <v>1</v>
      </c>
      <c r="K36" s="14" t="n">
        <v>11</v>
      </c>
      <c r="L36" s="12" t="n"/>
    </row>
    <row r="37" ht="28" customHeight="1">
      <c r="A37" s="7" t="inlineStr">
        <is>
          <t>H5. Existen consultas recurrentes que podrían resolverse previamente mediante comunicaciones o materiales explicativos.</t>
        </is>
      </c>
    </row>
    <row r="38">
      <c r="A38" s="8" t="inlineStr">
        <is>
          <t>H5</t>
        </is>
      </c>
      <c r="B38" s="8" t="inlineStr">
        <is>
          <t>Registrado</t>
        </is>
      </c>
      <c r="C38" s="9" t="inlineStr">
        <is>
          <t>Dudas que generan más tiempo de visita</t>
        </is>
      </c>
      <c r="D38" s="9" t="inlineStr">
        <is>
          <t>Habrá dudas que alargan la visita.  [confirma: Nota]</t>
        </is>
      </c>
      <c r="E38" s="8">
        <f>COUNTIFS(Codificado!$E$24:$AE$24,"Nota",Codificado!$E$2:$AE$2,"Sí")</f>
        <v/>
      </c>
      <c r="F38" s="8">
        <f>COUNTIFS(Codificado!$E$24:$AE$24,"Nota",Codificado!$E$2:$AE$2,"Sí")+COUNTIFS(Codificado!$E$24:$AE$24,"N",Codificado!$E$2:$AE$2,"Sí")</f>
        <v/>
      </c>
      <c r="G38" s="10">
        <f>IFERROR(E38/F38,"-")</f>
        <v/>
      </c>
      <c r="H38" s="8">
        <f>COUNTIFS(Codificado!$E$24:$T$24,"Nota",Codificado!$E$2:$T$2,"Sí")</f>
        <v/>
      </c>
      <c r="I38" s="8">
        <f>COUNTIFS(Codificado!$E$24:$T$24,"Nota",Codificado!$E$2:$T$2,"Sí")+COUNTIFS(Codificado!$E$24:$T$24,"N",Codificado!$E$2:$T$2,"Sí")</f>
        <v/>
      </c>
      <c r="J38" s="8">
        <f>COUNTIFS(Codificado!$U$24:$AE$24,"Nota",Codificado!$U$2:$AE$2,"Sí")</f>
        <v/>
      </c>
      <c r="K38" s="8">
        <f>COUNTIFS(Codificado!$U$24:$AE$24,"Nota",Codificado!$U$2:$AE$2,"Sí")+COUNTIFS(Codificado!$U$24:$AE$24,"N",Codificado!$U$2:$AE$2,"Sí")</f>
        <v/>
      </c>
      <c r="L38" s="9" t="n"/>
    </row>
    <row r="39">
      <c r="A39" s="8" t="inlineStr">
        <is>
          <t>H5</t>
        </is>
      </c>
      <c r="B39" s="8" t="inlineStr">
        <is>
          <t>Registrado</t>
        </is>
      </c>
      <c r="C39" s="9" t="inlineStr">
        <is>
          <t>El cliente consulta sobre aspectos de uso (otra TV, control remoto, funciones de voz)</t>
        </is>
      </c>
      <c r="D39" s="9" t="inlineStr">
        <is>
          <t>El cliente consultará sobre el uso (control, apps, voz).  [confirma: Nota]</t>
        </is>
      </c>
      <c r="E39" s="8">
        <f>COUNTIFS(Codificado!$E$27:$AE$27,"Nota",Codificado!$E$2:$AE$2,"Sí")</f>
        <v/>
      </c>
      <c r="F39" s="8">
        <f>COUNTIFS(Codificado!$E$27:$AE$27,"Nota",Codificado!$E$2:$AE$2,"Sí")+COUNTIFS(Codificado!$E$27:$AE$27,"N",Codificado!$E$2:$AE$2,"Sí")</f>
        <v/>
      </c>
      <c r="G39" s="10">
        <f>IFERROR(E39/F39,"-")</f>
        <v/>
      </c>
      <c r="H39" s="8">
        <f>COUNTIFS(Codificado!$E$27:$T$27,"Nota",Codificado!$E$2:$T$2,"Sí")</f>
        <v/>
      </c>
      <c r="I39" s="8">
        <f>COUNTIFS(Codificado!$E$27:$T$27,"Nota",Codificado!$E$2:$T$2,"Sí")+COUNTIFS(Codificado!$E$27:$T$27,"N",Codificado!$E$2:$T$2,"Sí")</f>
        <v/>
      </c>
      <c r="J39" s="8">
        <f>COUNTIFS(Codificado!$U$27:$AE$27,"Nota",Codificado!$U$2:$AE$2,"Sí")</f>
        <v/>
      </c>
      <c r="K39" s="8">
        <f>COUNTIFS(Codificado!$U$27:$AE$27,"Nota",Codificado!$U$2:$AE$2,"Sí")+COUNTIFS(Codificado!$U$27:$AE$27,"N",Codificado!$U$2:$AE$2,"Sí")</f>
        <v/>
      </c>
      <c r="L39" s="15" t="inlineStr">
        <is>
          <t>Polaridad a validar: leer con cautela</t>
        </is>
      </c>
    </row>
    <row r="40">
      <c r="A40" s="8" t="inlineStr">
        <is>
          <t>H5</t>
        </is>
      </c>
      <c r="B40" s="8" t="inlineStr">
        <is>
          <t>Registrado</t>
        </is>
      </c>
      <c r="C40" s="9" t="inlineStr">
        <is>
          <t>El cliente consulta sobre otros temas ajenos a la gestión (facturación, débito, otra avería)</t>
        </is>
      </c>
      <c r="D40" s="9" t="inlineStr">
        <is>
          <t>El cliente consultará sobre temas ajenos al recambio.  [confirma: Nota]</t>
        </is>
      </c>
      <c r="E40" s="8">
        <f>COUNTIFS(Codificado!$E$28:$AE$28,"Nota",Codificado!$E$2:$AE$2,"Sí")</f>
        <v/>
      </c>
      <c r="F40" s="8">
        <f>COUNTIFS(Codificado!$E$28:$AE$28,"Nota",Codificado!$E$2:$AE$2,"Sí")+COUNTIFS(Codificado!$E$28:$AE$28,"N",Codificado!$E$2:$AE$2,"Sí")</f>
        <v/>
      </c>
      <c r="G40" s="10">
        <f>IFERROR(E40/F40,"-")</f>
        <v/>
      </c>
      <c r="H40" s="8">
        <f>COUNTIFS(Codificado!$E$28:$T$28,"Nota",Codificado!$E$2:$T$2,"Sí")</f>
        <v/>
      </c>
      <c r="I40" s="8">
        <f>COUNTIFS(Codificado!$E$28:$T$28,"Nota",Codificado!$E$2:$T$2,"Sí")+COUNTIFS(Codificado!$E$28:$T$28,"N",Codificado!$E$2:$T$2,"Sí")</f>
        <v/>
      </c>
      <c r="J40" s="8">
        <f>COUNTIFS(Codificado!$U$28:$AE$28,"Nota",Codificado!$U$2:$AE$2,"Sí")</f>
        <v/>
      </c>
      <c r="K40" s="8">
        <f>COUNTIFS(Codificado!$U$28:$AE$28,"Nota",Codificado!$U$2:$AE$2,"Sí")+COUNTIFS(Codificado!$U$28:$AE$28,"N",Codificado!$U$2:$AE$2,"Sí")</f>
        <v/>
      </c>
      <c r="L40" s="9" t="n"/>
    </row>
    <row r="41">
      <c r="A41" s="8" t="inlineStr">
        <is>
          <t>H5</t>
        </is>
      </c>
      <c r="B41" s="8" t="inlineStr">
        <is>
          <t>Registrado</t>
        </is>
      </c>
      <c r="C41" s="9" t="inlineStr">
        <is>
          <t>El cliente reclama comunicación / información previa</t>
        </is>
      </c>
      <c r="D41" s="9" t="inlineStr">
        <is>
          <t>El cliente reclamará información previa.  [confirma: Nota]</t>
        </is>
      </c>
      <c r="E41" s="8">
        <f>COUNTIFS(Codificado!$E$29:$AE$29,"Nota",Codificado!$E$2:$AE$2,"Sí")</f>
        <v/>
      </c>
      <c r="F41" s="8">
        <f>COUNTIFS(Codificado!$E$29:$AE$29,"Nota",Codificado!$E$2:$AE$2,"Sí")+COUNTIFS(Codificado!$E$29:$AE$29,"N",Codificado!$E$2:$AE$2,"Sí")</f>
        <v/>
      </c>
      <c r="G41" s="10">
        <f>IFERROR(E41/F41,"-")</f>
        <v/>
      </c>
      <c r="H41" s="8">
        <f>COUNTIFS(Codificado!$E$29:$T$29,"Nota",Codificado!$E$2:$T$2,"Sí")</f>
        <v/>
      </c>
      <c r="I41" s="8">
        <f>COUNTIFS(Codificado!$E$29:$T$29,"Nota",Codificado!$E$2:$T$2,"Sí")+COUNTIFS(Codificado!$E$29:$T$29,"N",Codificado!$E$2:$T$2,"Sí")</f>
        <v/>
      </c>
      <c r="J41" s="8">
        <f>COUNTIFS(Codificado!$U$29:$AE$29,"Nota",Codificado!$U$2:$AE$2,"Sí")</f>
        <v/>
      </c>
      <c r="K41" s="8">
        <f>COUNTIFS(Codificado!$U$29:$AE$29,"Nota",Codificado!$U$2:$AE$2,"Sí")+COUNTIFS(Codificado!$U$29:$AE$29,"N",Codificado!$U$2:$AE$2,"Sí")</f>
        <v/>
      </c>
      <c r="L41" s="9" t="n"/>
    </row>
    <row r="42">
      <c r="A42" s="8" t="inlineStr">
        <is>
          <t>H5</t>
        </is>
      </c>
      <c r="B42" s="8" t="inlineStr">
        <is>
          <t>Registrado</t>
        </is>
      </c>
      <c r="C42" s="9" t="inlineStr">
        <is>
          <t>El cliente consulta sobre aspectos operativos (carga o baja de una suscripción)</t>
        </is>
      </c>
      <c r="D42" s="9" t="inlineStr">
        <is>
          <t>El cliente consultará sobre la carga de suscripciones.  [confirma: Nota]</t>
        </is>
      </c>
      <c r="E42" s="8">
        <f>COUNTIFS(Codificado!$E$26:$AE$26,"Nota",Codificado!$E$2:$AE$2,"Sí")</f>
        <v/>
      </c>
      <c r="F42" s="8">
        <f>COUNTIFS(Codificado!$E$26:$AE$26,"Nota",Codificado!$E$2:$AE$2,"Sí")+COUNTIFS(Codificado!$E$26:$AE$26,"N",Codificado!$E$2:$AE$2,"Sí")</f>
        <v/>
      </c>
      <c r="G42" s="10">
        <f>IFERROR(E42/F42,"-")</f>
        <v/>
      </c>
      <c r="H42" s="8">
        <f>COUNTIFS(Codificado!$E$26:$T$26,"Nota",Codificado!$E$2:$T$2,"Sí")</f>
        <v/>
      </c>
      <c r="I42" s="8">
        <f>COUNTIFS(Codificado!$E$26:$T$26,"Nota",Codificado!$E$2:$T$2,"Sí")+COUNTIFS(Codificado!$E$26:$T$26,"N",Codificado!$E$2:$T$2,"Sí")</f>
        <v/>
      </c>
      <c r="J42" s="8">
        <f>COUNTIFS(Codificado!$U$26:$AE$26,"Nota",Codificado!$U$2:$AE$2,"Sí")</f>
        <v/>
      </c>
      <c r="K42" s="8">
        <f>COUNTIFS(Codificado!$U$26:$AE$26,"Nota",Codificado!$U$2:$AE$2,"Sí")+COUNTIFS(Codificado!$U$26:$AE$26,"N",Codificado!$U$2:$AE$2,"Sí")</f>
        <v/>
      </c>
      <c r="L42" s="9" t="n"/>
    </row>
    <row r="43">
      <c r="A43" s="8" t="inlineStr">
        <is>
          <t>H5</t>
        </is>
      </c>
      <c r="B43" s="8" t="inlineStr">
        <is>
          <t>Registrado</t>
        </is>
      </c>
      <c r="C43" s="9" t="inlineStr">
        <is>
          <t>El cliente consulta sobre aspectos administrativos (costo, beneficio, titularidad)</t>
        </is>
      </c>
      <c r="D43" s="9" t="inlineStr">
        <is>
          <t>El cliente consultará por costo o titularidad.  [confirma: Nota]</t>
        </is>
      </c>
      <c r="E43" s="8">
        <f>COUNTIFS(Codificado!$E$25:$AE$25,"Nota",Codificado!$E$2:$AE$2,"Sí")</f>
        <v/>
      </c>
      <c r="F43" s="8">
        <f>COUNTIFS(Codificado!$E$25:$AE$25,"Nota",Codificado!$E$2:$AE$2,"Sí")+COUNTIFS(Codificado!$E$25:$AE$25,"N",Codificado!$E$2:$AE$2,"Sí")</f>
        <v/>
      </c>
      <c r="G43" s="10">
        <f>IFERROR(E43/F43,"-")</f>
        <v/>
      </c>
      <c r="H43" s="8">
        <f>COUNTIFS(Codificado!$E$25:$T$25,"Nota",Codificado!$E$2:$T$2,"Sí")</f>
        <v/>
      </c>
      <c r="I43" s="8">
        <f>COUNTIFS(Codificado!$E$25:$T$25,"Nota",Codificado!$E$2:$T$2,"Sí")+COUNTIFS(Codificado!$E$25:$T$25,"N",Codificado!$E$2:$T$2,"Sí")</f>
        <v/>
      </c>
      <c r="J43" s="8">
        <f>COUNTIFS(Codificado!$U$25:$AE$25,"Nota",Codificado!$U$2:$AE$2,"Sí")</f>
        <v/>
      </c>
      <c r="K43" s="8">
        <f>COUNTIFS(Codificado!$U$25:$AE$25,"Nota",Codificado!$U$2:$AE$2,"Sí")+COUNTIFS(Codificado!$U$25:$AE$25,"N",Codificado!$U$2:$AE$2,"Sí")</f>
        <v/>
      </c>
      <c r="L43" s="9" t="n"/>
    </row>
    <row r="44">
      <c r="A44" s="11" t="inlineStr">
        <is>
          <t>H5</t>
        </is>
      </c>
      <c r="B44" s="11" t="inlineStr">
        <is>
          <t>Observado</t>
        </is>
      </c>
      <c r="C44" s="12" t="inlineStr">
        <is>
          <t>Pregunta por el motivo del cambio</t>
        </is>
      </c>
      <c r="D44" s="12" t="inlineStr">
        <is>
          <t>V02, V03, V04, V05, V12, V13, V19, V23, V24, V25</t>
        </is>
      </c>
      <c r="E44" s="11">
        <f>LEN(D44)-LEN(SUBSTITUTE(D44,"V",""))</f>
        <v/>
      </c>
      <c r="F44" s="11">
        <f>COUNTIF(Codificado!$E$2:$AE$2,"Sí")</f>
        <v/>
      </c>
      <c r="G44" s="13">
        <f>IFERROR(E44/F44,"-")</f>
        <v/>
      </c>
      <c r="H44" s="14" t="n">
        <v>6</v>
      </c>
      <c r="I44" s="14" t="n">
        <v>14</v>
      </c>
      <c r="J44" s="14" t="n">
        <v>4</v>
      </c>
      <c r="K44" s="14" t="n">
        <v>11</v>
      </c>
      <c r="L44" s="12" t="n"/>
    </row>
    <row r="45">
      <c r="A45" s="11" t="inlineStr">
        <is>
          <t>H5</t>
        </is>
      </c>
      <c r="B45" s="11" t="inlineStr">
        <is>
          <t>Observado</t>
        </is>
      </c>
      <c r="C45" s="12" t="inlineStr">
        <is>
          <t>Pedidos ajenos al recambio (wifi, módem, repetidor, deco adicional)</t>
        </is>
      </c>
      <c r="D45" s="12" t="inlineStr">
        <is>
          <t>V03, V11, V13, V22</t>
        </is>
      </c>
      <c r="E45" s="11">
        <f>LEN(D45)-LEN(SUBSTITUTE(D45,"V",""))</f>
        <v/>
      </c>
      <c r="F45" s="11">
        <f>COUNTIF(Codificado!$E$2:$AE$2,"Sí")</f>
        <v/>
      </c>
      <c r="G45" s="13">
        <f>IFERROR(E45/F45,"-")</f>
        <v/>
      </c>
      <c r="H45" s="14" t="n">
        <v>3</v>
      </c>
      <c r="I45" s="14" t="n">
        <v>14</v>
      </c>
      <c r="J45" s="14" t="n">
        <v>1</v>
      </c>
      <c r="K45" s="14" t="n">
        <v>11</v>
      </c>
      <c r="L45" s="12" t="n"/>
    </row>
    <row r="46">
      <c r="A46" s="11" t="inlineStr">
        <is>
          <t>H5</t>
        </is>
      </c>
      <c r="B46" s="11" t="inlineStr">
        <is>
          <t>Observado</t>
        </is>
      </c>
      <c r="C46" s="12" t="inlineStr">
        <is>
          <t>Pregunta por el costo</t>
        </is>
      </c>
      <c r="D46" s="12" t="inlineStr">
        <is>
          <t>V04</t>
        </is>
      </c>
      <c r="E46" s="11">
        <f>LEN(D46)-LEN(SUBSTITUTE(D46,"V",""))</f>
        <v/>
      </c>
      <c r="F46" s="11">
        <f>COUNTIF(Codificado!$E$2:$AE$2,"Sí")</f>
        <v/>
      </c>
      <c r="G46" s="13">
        <f>IFERROR(E46/F46,"-")</f>
        <v/>
      </c>
      <c r="H46" s="14" t="n">
        <v>1</v>
      </c>
      <c r="I46" s="14" t="n">
        <v>14</v>
      </c>
      <c r="J46" s="14" t="n">
        <v>0</v>
      </c>
      <c r="K46" s="14" t="n">
        <v>11</v>
      </c>
      <c r="L46" s="12" t="n"/>
    </row>
    <row r="47" ht="28" customHeight="1">
      <c r="A47" s="7" t="inlineStr">
        <is>
          <t>H6. Los clientes llegan a la visita con bajo conocimiento sobre el motivo y alcance del cambio de deco.</t>
        </is>
      </c>
    </row>
    <row r="48">
      <c r="A48" s="8" t="inlineStr">
        <is>
          <t>H6</t>
        </is>
      </c>
      <c r="B48" s="8" t="inlineStr">
        <is>
          <t>Registrado</t>
        </is>
      </c>
      <c r="C48" s="9" t="inlineStr">
        <is>
          <t>El cliente expresa haber recibido comunicación previa</t>
        </is>
      </c>
      <c r="D48" s="9" t="inlineStr">
        <is>
          <t>El cliente no recuerda haber recibido comunicación (alerta de polaridad).  [confirma: N]</t>
        </is>
      </c>
      <c r="E48" s="8">
        <f>COUNTIFS(Codificado!$E$30:$AE$30,"N",Codificado!$E$2:$AE$2,"Sí")</f>
        <v/>
      </c>
      <c r="F48" s="8">
        <f>COUNTIFS(Codificado!$E$30:$AE$30,"N",Codificado!$E$2:$AE$2,"Sí")+COUNTIFS(Codificado!$E$30:$AE$30,"S",Codificado!$E$2:$AE$2,"Sí")</f>
        <v/>
      </c>
      <c r="G48" s="10">
        <f>IFERROR(E48/F48,"-")</f>
        <v/>
      </c>
      <c r="H48" s="8">
        <f>COUNTIFS(Codificado!$E$30:$T$30,"N",Codificado!$E$2:$T$2,"Sí")</f>
        <v/>
      </c>
      <c r="I48" s="8">
        <f>COUNTIFS(Codificado!$E$30:$T$30,"N",Codificado!$E$2:$T$2,"Sí")+COUNTIFS(Codificado!$E$30:$T$30,"S",Codificado!$E$2:$T$2,"Sí")</f>
        <v/>
      </c>
      <c r="J48" s="8">
        <f>COUNTIFS(Codificado!$U$30:$AE$30,"N",Codificado!$U$2:$AE$2,"Sí")</f>
        <v/>
      </c>
      <c r="K48" s="8">
        <f>COUNTIFS(Codificado!$U$30:$AE$30,"N",Codificado!$U$2:$AE$2,"Sí")+COUNTIFS(Codificado!$U$30:$AE$30,"S",Codificado!$U$2:$AE$2,"Sí")</f>
        <v/>
      </c>
      <c r="L48" s="15" t="inlineStr">
        <is>
          <t>Polaridad a validar: leer con cautela</t>
        </is>
      </c>
    </row>
    <row r="49">
      <c r="A49" s="8" t="inlineStr">
        <is>
          <t>H6</t>
        </is>
      </c>
      <c r="B49" s="8" t="inlineStr">
        <is>
          <t>Registrado</t>
        </is>
      </c>
      <c r="C49" s="9" t="inlineStr">
        <is>
          <t>El cliente asume que el cambio tiene otro alcance (deco + control o solo deco)</t>
        </is>
      </c>
      <c r="D49" s="9" t="inlineStr">
        <is>
          <t>El cliente asume que el cambio tiene otro alcance.  [confirma: S, Nota]</t>
        </is>
      </c>
      <c r="E49" s="8">
        <f>COUNTIFS(Codificado!$E$32:$AE$32,"S",Codificado!$E$2:$AE$2,"Sí")+COUNTIFS(Codificado!$E$32:$AE$32,"Nota",Codificado!$E$2:$AE$2,"Sí")</f>
        <v/>
      </c>
      <c r="F49" s="8">
        <f>COUNTIFS(Codificado!$E$32:$AE$32,"S",Codificado!$E$2:$AE$2,"Sí")+COUNTIFS(Codificado!$E$32:$AE$32,"Nota",Codificado!$E$2:$AE$2,"Sí")+COUNTIFS(Codificado!$E$32:$AE$32,"N",Codificado!$E$2:$AE$2,"Sí")</f>
        <v/>
      </c>
      <c r="G49" s="10">
        <f>IFERROR(E49/F49,"-")</f>
        <v/>
      </c>
      <c r="H49" s="8">
        <f>COUNTIFS(Codificado!$E$32:$T$32,"S",Codificado!$E$2:$T$2,"Sí")+COUNTIFS(Codificado!$E$32:$T$32,"Nota",Codificado!$E$2:$T$2,"Sí")</f>
        <v/>
      </c>
      <c r="I49" s="8">
        <f>COUNTIFS(Codificado!$E$32:$T$32,"S",Codificado!$E$2:$T$2,"Sí")+COUNTIFS(Codificado!$E$32:$T$32,"Nota",Codificado!$E$2:$T$2,"Sí")+COUNTIFS(Codificado!$E$32:$T$32,"N",Codificado!$E$2:$T$2,"Sí")</f>
        <v/>
      </c>
      <c r="J49" s="8">
        <f>COUNTIFS(Codificado!$U$32:$AE$32,"S",Codificado!$U$2:$AE$2,"Sí")+COUNTIFS(Codificado!$U$32:$AE$32,"Nota",Codificado!$U$2:$AE$2,"Sí")</f>
        <v/>
      </c>
      <c r="K49" s="8">
        <f>COUNTIFS(Codificado!$U$32:$AE$32,"S",Codificado!$U$2:$AE$2,"Sí")+COUNTIFS(Codificado!$U$32:$AE$32,"Nota",Codificado!$U$2:$AE$2,"Sí")+COUNTIFS(Codificado!$U$32:$AE$32,"N",Codificado!$U$2:$AE$2,"Sí")</f>
        <v/>
      </c>
      <c r="L49" s="9" t="n"/>
    </row>
    <row r="50">
      <c r="A50" s="11" t="inlineStr">
        <is>
          <t>H6</t>
        </is>
      </c>
      <c r="B50" s="11" t="inlineStr">
        <is>
          <t>Observado</t>
        </is>
      </c>
      <c r="C50" s="12" t="inlineStr">
        <is>
          <t>Pregunta por el motivo del cambio</t>
        </is>
      </c>
      <c r="D50" s="12" t="inlineStr">
        <is>
          <t>V02, V03, V04, V05, V12, V13, V19, V23, V24, V25</t>
        </is>
      </c>
      <c r="E50" s="11">
        <f>LEN(D50)-LEN(SUBSTITUTE(D50,"V",""))</f>
        <v/>
      </c>
      <c r="F50" s="11">
        <f>COUNTIF(Codificado!$E$2:$AE$2,"Sí")</f>
        <v/>
      </c>
      <c r="G50" s="13">
        <f>IFERROR(E50/F50,"-")</f>
        <v/>
      </c>
      <c r="H50" s="14" t="n">
        <v>6</v>
      </c>
      <c r="I50" s="14" t="n">
        <v>14</v>
      </c>
      <c r="J50" s="14" t="n">
        <v>4</v>
      </c>
      <c r="K50" s="14" t="n">
        <v>11</v>
      </c>
      <c r="L50" s="12" t="n"/>
    </row>
    <row r="51">
      <c r="A51" s="11" t="inlineStr">
        <is>
          <t>H6</t>
        </is>
      </c>
      <c r="B51" s="11" t="inlineStr">
        <is>
          <t>Observado</t>
        </is>
      </c>
      <c r="C51" s="12" t="inlineStr">
        <is>
          <t>Recuerda el llamado y aun así pregunta por el motivo (Técnico B)</t>
        </is>
      </c>
      <c r="D51" s="12" t="inlineStr">
        <is>
          <t>V19, V23, V24, V25</t>
        </is>
      </c>
      <c r="E51" s="11">
        <f>LEN(D51)-LEN(SUBSTITUTE(D51,"V",""))</f>
        <v/>
      </c>
      <c r="F51" s="11">
        <f>COUNTIF(Codificado!$E$2:$AE$2,"Sí")</f>
        <v/>
      </c>
      <c r="G51" s="13">
        <f>IFERROR(E51/F51,"-")</f>
        <v/>
      </c>
      <c r="H51" s="14" t="n">
        <v>0</v>
      </c>
      <c r="I51" s="14" t="n">
        <v>14</v>
      </c>
      <c r="J51" s="14" t="n">
        <v>4</v>
      </c>
      <c r="K51" s="14" t="n">
        <v>11</v>
      </c>
      <c r="L51" s="12" t="n"/>
    </row>
    <row r="52">
      <c r="A52" s="11" t="inlineStr">
        <is>
          <t>H6</t>
        </is>
      </c>
      <c r="B52" s="11" t="inlineStr">
        <is>
          <t>Observado</t>
        </is>
      </c>
      <c r="C52" s="12" t="inlineStr">
        <is>
          <t>Atiende alguien que no es el titular</t>
        </is>
      </c>
      <c r="D52" s="12" t="inlineStr">
        <is>
          <t>V01, V04, V09</t>
        </is>
      </c>
      <c r="E52" s="11">
        <f>LEN(D52)-LEN(SUBSTITUTE(D52,"V",""))</f>
        <v/>
      </c>
      <c r="F52" s="11">
        <f>COUNTIF(Codificado!$E$2:$AE$2,"Sí")</f>
        <v/>
      </c>
      <c r="G52" s="13">
        <f>IFERROR(E52/F52,"-")</f>
        <v/>
      </c>
      <c r="H52" s="14" t="n">
        <v>3</v>
      </c>
      <c r="I52" s="14" t="n">
        <v>14</v>
      </c>
      <c r="J52" s="14" t="n">
        <v>0</v>
      </c>
      <c r="K52" s="14" t="n">
        <v>11</v>
      </c>
      <c r="L52" s="12" t="n"/>
    </row>
    <row r="53">
      <c r="A53" s="11" t="inlineStr">
        <is>
          <t>H6</t>
        </is>
      </c>
      <c r="B53" s="11" t="inlineStr">
        <is>
          <t>Observado</t>
        </is>
      </c>
      <c r="C53" s="12" t="inlineStr">
        <is>
          <t>Cree que se cambia otro dispositivo</t>
        </is>
      </c>
      <c r="D53" s="12" t="inlineStr">
        <is>
          <t>V13</t>
        </is>
      </c>
      <c r="E53" s="11">
        <f>LEN(D53)-LEN(SUBSTITUTE(D53,"V",""))</f>
        <v/>
      </c>
      <c r="F53" s="11">
        <f>COUNTIF(Codificado!$E$2:$AE$2,"Sí")</f>
        <v/>
      </c>
      <c r="G53" s="13">
        <f>IFERROR(E53/F53,"-")</f>
        <v/>
      </c>
      <c r="H53" s="14" t="n">
        <v>1</v>
      </c>
      <c r="I53" s="14" t="n">
        <v>14</v>
      </c>
      <c r="J53" s="14" t="n">
        <v>0</v>
      </c>
      <c r="K53" s="14" t="n">
        <v>11</v>
      </c>
      <c r="L53" s="12" t="n"/>
    </row>
    <row r="54" ht="28" customHeight="1">
      <c r="A54" s="7" t="inlineStr">
        <is>
          <t>H7. La nueva interfaz del SO y del control remoto genera dificultades de uso.</t>
        </is>
      </c>
    </row>
    <row r="55">
      <c r="A55" s="8" t="inlineStr">
        <is>
          <t>H7</t>
        </is>
      </c>
      <c r="B55" s="8" t="inlineStr">
        <is>
          <t>Registrado</t>
        </is>
      </c>
      <c r="C55" s="9" t="inlineStr">
        <is>
          <t>El cliente logra ver el contenido</t>
        </is>
      </c>
      <c r="D55" s="9" t="inlineStr">
        <is>
          <t>El cliente no logra ver el contenido.  [confirma: N]</t>
        </is>
      </c>
      <c r="E55" s="8">
        <f>COUNTIFS(Codificado!$E$37:$AE$37,"N",Codificado!$E$2:$AE$2,"Sí")</f>
        <v/>
      </c>
      <c r="F55" s="8">
        <f>COUNTIFS(Codificado!$E$37:$AE$37,"N",Codificado!$E$2:$AE$2,"Sí")+COUNTIFS(Codificado!$E$37:$AE$37,"S",Codificado!$E$2:$AE$2,"Sí")</f>
        <v/>
      </c>
      <c r="G55" s="10">
        <f>IFERROR(E55/F55,"-")</f>
        <v/>
      </c>
      <c r="H55" s="8">
        <f>COUNTIFS(Codificado!$E$37:$T$37,"N",Codificado!$E$2:$T$2,"Sí")</f>
        <v/>
      </c>
      <c r="I55" s="8">
        <f>COUNTIFS(Codificado!$E$37:$T$37,"N",Codificado!$E$2:$T$2,"Sí")+COUNTIFS(Codificado!$E$37:$T$37,"S",Codificado!$E$2:$T$2,"Sí")</f>
        <v/>
      </c>
      <c r="J55" s="8">
        <f>COUNTIFS(Codificado!$U$37:$AE$37,"N",Codificado!$U$2:$AE$2,"Sí")</f>
        <v/>
      </c>
      <c r="K55" s="8">
        <f>COUNTIFS(Codificado!$U$37:$AE$37,"N",Codificado!$U$2:$AE$2,"Sí")+COUNTIFS(Codificado!$U$37:$AE$37,"S",Codificado!$U$2:$AE$2,"Sí")</f>
        <v/>
      </c>
      <c r="L55" s="9" t="n"/>
    </row>
    <row r="56">
      <c r="A56" s="8" t="inlineStr">
        <is>
          <t>H7</t>
        </is>
      </c>
      <c r="B56" s="8" t="inlineStr">
        <is>
          <t>Registrado</t>
        </is>
      </c>
      <c r="C56" s="9" t="inlineStr">
        <is>
          <t>El cliente logra ver datos de perfil</t>
        </is>
      </c>
      <c r="D56" s="9" t="inlineStr">
        <is>
          <t>El cliente no logra ver los datos de su perfil.  [confirma: N]</t>
        </is>
      </c>
      <c r="E56" s="8">
        <f>COUNTIFS(Codificado!$E$39:$AE$39,"N",Codificado!$E$2:$AE$2,"Sí")</f>
        <v/>
      </c>
      <c r="F56" s="8">
        <f>COUNTIFS(Codificado!$E$39:$AE$39,"N",Codificado!$E$2:$AE$2,"Sí")+COUNTIFS(Codificado!$E$39:$AE$39,"S",Codificado!$E$2:$AE$2,"Sí")</f>
        <v/>
      </c>
      <c r="G56" s="10">
        <f>IFERROR(E56/F56,"-")</f>
        <v/>
      </c>
      <c r="H56" s="8">
        <f>COUNTIFS(Codificado!$E$39:$T$39,"N",Codificado!$E$2:$T$2,"Sí")</f>
        <v/>
      </c>
      <c r="I56" s="8">
        <f>COUNTIFS(Codificado!$E$39:$T$39,"N",Codificado!$E$2:$T$2,"Sí")+COUNTIFS(Codificado!$E$39:$T$39,"S",Codificado!$E$2:$T$2,"Sí")</f>
        <v/>
      </c>
      <c r="J56" s="8">
        <f>COUNTIFS(Codificado!$U$39:$AE$39,"N",Codificado!$U$2:$AE$2,"Sí")</f>
        <v/>
      </c>
      <c r="K56" s="8">
        <f>COUNTIFS(Codificado!$U$39:$AE$39,"N",Codificado!$U$2:$AE$2,"Sí")+COUNTIFS(Codificado!$U$39:$AE$39,"S",Codificado!$U$2:$AE$2,"Sí")</f>
        <v/>
      </c>
      <c r="L56" s="9" t="n"/>
    </row>
    <row r="57">
      <c r="A57" s="8" t="inlineStr">
        <is>
          <t>H7</t>
        </is>
      </c>
      <c r="B57" s="8" t="inlineStr">
        <is>
          <t>Registrado</t>
        </is>
      </c>
      <c r="C57" s="9" t="inlineStr">
        <is>
          <t>Tareas que generan más errores</t>
        </is>
      </c>
      <c r="D57" s="9" t="inlineStr">
        <is>
          <t>Habrá tareas que generen errores.  [confirma: S, Nota]</t>
        </is>
      </c>
      <c r="E57" s="8">
        <f>COUNTIFS(Codificado!$E$33:$AE$33,"S",Codificado!$E$2:$AE$2,"Sí")+COUNTIFS(Codificado!$E$33:$AE$33,"Nota",Codificado!$E$2:$AE$2,"Sí")</f>
        <v/>
      </c>
      <c r="F57" s="8">
        <f>COUNTIFS(Codificado!$E$33:$AE$33,"S",Codificado!$E$2:$AE$2,"Sí")+COUNTIFS(Codificado!$E$33:$AE$33,"Nota",Codificado!$E$2:$AE$2,"Sí")+COUNTIFS(Codificado!$E$33:$AE$33,"N",Codificado!$E$2:$AE$2,"Sí")</f>
        <v/>
      </c>
      <c r="G57" s="10">
        <f>IFERROR(E57/F57,"-")</f>
        <v/>
      </c>
      <c r="H57" s="8">
        <f>COUNTIFS(Codificado!$E$33:$T$33,"S",Codificado!$E$2:$T$2,"Sí")+COUNTIFS(Codificado!$E$33:$T$33,"Nota",Codificado!$E$2:$T$2,"Sí")</f>
        <v/>
      </c>
      <c r="I57" s="8">
        <f>COUNTIFS(Codificado!$E$33:$T$33,"S",Codificado!$E$2:$T$2,"Sí")+COUNTIFS(Codificado!$E$33:$T$33,"Nota",Codificado!$E$2:$T$2,"Sí")+COUNTIFS(Codificado!$E$33:$T$33,"N",Codificado!$E$2:$T$2,"Sí")</f>
        <v/>
      </c>
      <c r="J57" s="8">
        <f>COUNTIFS(Codificado!$U$33:$AE$33,"S",Codificado!$U$2:$AE$2,"Sí")+COUNTIFS(Codificado!$U$33:$AE$33,"Nota",Codificado!$U$2:$AE$2,"Sí")</f>
        <v/>
      </c>
      <c r="K57" s="8">
        <f>COUNTIFS(Codificado!$U$33:$AE$33,"S",Codificado!$U$2:$AE$2,"Sí")+COUNTIFS(Codificado!$U$33:$AE$33,"Nota",Codificado!$U$2:$AE$2,"Sí")+COUNTIFS(Codificado!$U$33:$AE$33,"N",Codificado!$U$2:$AE$2,"Sí")</f>
        <v/>
      </c>
      <c r="L57" s="9" t="n"/>
    </row>
    <row r="58">
      <c r="A58" s="8" t="inlineStr">
        <is>
          <t>H7</t>
        </is>
      </c>
      <c r="B58" s="8" t="inlineStr">
        <is>
          <t>Registrado</t>
        </is>
      </c>
      <c r="C58" s="9" t="inlineStr">
        <is>
          <t>Cantidad de asistencias necesarias</t>
        </is>
      </c>
      <c r="D58" s="9" t="inlineStr">
        <is>
          <t>El cliente necesitará asistencias para usar el deco.  [confirma: Nota]</t>
        </is>
      </c>
      <c r="E58" s="8">
        <f>COUNTIFS(Codificado!$E$35:$AE$35,"Nota",Codificado!$E$2:$AE$2,"Sí")</f>
        <v/>
      </c>
      <c r="F58" s="8">
        <f>COUNTIFS(Codificado!$E$35:$AE$35,"Nota",Codificado!$E$2:$AE$2,"Sí")+COUNTIFS(Codificado!$E$35:$AE$35,"N",Codificado!$E$2:$AE$2,"Sí")</f>
        <v/>
      </c>
      <c r="G58" s="10">
        <f>IFERROR(E58/F58,"-")</f>
        <v/>
      </c>
      <c r="H58" s="8">
        <f>COUNTIFS(Codificado!$E$35:$T$35,"Nota",Codificado!$E$2:$T$2,"Sí")</f>
        <v/>
      </c>
      <c r="I58" s="8">
        <f>COUNTIFS(Codificado!$E$35:$T$35,"Nota",Codificado!$E$2:$T$2,"Sí")+COUNTIFS(Codificado!$E$35:$T$35,"N",Codificado!$E$2:$T$2,"Sí")</f>
        <v/>
      </c>
      <c r="J58" s="8">
        <f>COUNTIFS(Codificado!$U$35:$AE$35,"Nota",Codificado!$U$2:$AE$2,"Sí")</f>
        <v/>
      </c>
      <c r="K58" s="8">
        <f>COUNTIFS(Codificado!$U$35:$AE$35,"Nota",Codificado!$U$2:$AE$2,"Sí")+COUNTIFS(Codificado!$U$35:$AE$35,"N",Codificado!$U$2:$AE$2,"Sí")</f>
        <v/>
      </c>
      <c r="L58" s="9" t="n"/>
    </row>
    <row r="59">
      <c r="A59" s="8" t="inlineStr">
        <is>
          <t>H7</t>
        </is>
      </c>
      <c r="B59" s="8" t="inlineStr">
        <is>
          <t>Registrado</t>
        </is>
      </c>
      <c r="C59" s="9" t="inlineStr">
        <is>
          <t>Botones más confusos</t>
        </is>
      </c>
      <c r="D59" s="9" t="inlineStr">
        <is>
          <t>Habrá botones que confundan al cliente.  [confirma: Nota]</t>
        </is>
      </c>
      <c r="E59" s="8">
        <f>COUNTIFS(Codificado!$E$34:$AE$34,"Nota",Codificado!$E$2:$AE$2,"Sí")</f>
        <v/>
      </c>
      <c r="F59" s="8">
        <f>COUNTIFS(Codificado!$E$34:$AE$34,"Nota",Codificado!$E$2:$AE$2,"Sí")+COUNTIFS(Codificado!$E$34:$AE$34,"N",Codificado!$E$2:$AE$2,"Sí")</f>
        <v/>
      </c>
      <c r="G59" s="10">
        <f>IFERROR(E59/F59,"-")</f>
        <v/>
      </c>
      <c r="H59" s="8">
        <f>COUNTIFS(Codificado!$E$34:$T$34,"Nota",Codificado!$E$2:$T$2,"Sí")</f>
        <v/>
      </c>
      <c r="I59" s="8">
        <f>COUNTIFS(Codificado!$E$34:$T$34,"Nota",Codificado!$E$2:$T$2,"Sí")+COUNTIFS(Codificado!$E$34:$T$34,"N",Codificado!$E$2:$T$2,"Sí")</f>
        <v/>
      </c>
      <c r="J59" s="8">
        <f>COUNTIFS(Codificado!$U$34:$AE$34,"Nota",Codificado!$U$2:$AE$2,"Sí")</f>
        <v/>
      </c>
      <c r="K59" s="8">
        <f>COUNTIFS(Codificado!$U$34:$AE$34,"Nota",Codificado!$U$2:$AE$2,"Sí")+COUNTIFS(Codificado!$U$34:$AE$34,"N",Codificado!$U$2:$AE$2,"Sí")</f>
        <v/>
      </c>
      <c r="L59" s="9" t="n"/>
    </row>
    <row r="60">
      <c r="A60" s="11" t="inlineStr">
        <is>
          <t>H7</t>
        </is>
      </c>
      <c r="B60" s="11" t="inlineStr">
        <is>
          <t>Observado</t>
        </is>
      </c>
      <c r="C60" s="12" t="inlineStr">
        <is>
          <t>El cliente no intentó usar el control durante la visita</t>
        </is>
      </c>
      <c r="D60" s="12" t="inlineStr">
        <is>
          <t>V01, V17, V23, V27</t>
        </is>
      </c>
      <c r="E60" s="11">
        <f>LEN(D60)-LEN(SUBSTITUTE(D60,"V",""))</f>
        <v/>
      </c>
      <c r="F60" s="11">
        <f>COUNTIF(Codificado!$E$2:$AE$2,"Sí")</f>
        <v/>
      </c>
      <c r="G60" s="13">
        <f>IFERROR(E60/F60,"-")</f>
        <v/>
      </c>
      <c r="H60" s="14" t="n">
        <v>1</v>
      </c>
      <c r="I60" s="14" t="n">
        <v>14</v>
      </c>
      <c r="J60" s="14" t="n">
        <v>3</v>
      </c>
      <c r="K60" s="14" t="n">
        <v>11</v>
      </c>
      <c r="L60" s="12" t="n"/>
    </row>
    <row r="61">
      <c r="A61" s="11" t="inlineStr">
        <is>
          <t>H7</t>
        </is>
      </c>
      <c r="B61" s="11" t="inlineStr">
        <is>
          <t>Observado</t>
        </is>
      </c>
      <c r="C61" s="12" t="inlineStr">
        <is>
          <t>Dudas sobre botones (grilla, Home, Menú, accesos directos)</t>
        </is>
      </c>
      <c r="D61" s="12" t="inlineStr">
        <is>
          <t>V06, V08, V09, V11</t>
        </is>
      </c>
      <c r="E61" s="11">
        <f>LEN(D61)-LEN(SUBSTITUTE(D61,"V",""))</f>
        <v/>
      </c>
      <c r="F61" s="11">
        <f>COUNTIF(Codificado!$E$2:$AE$2,"Sí")</f>
        <v/>
      </c>
      <c r="G61" s="13">
        <f>IFERROR(E61/F61,"-")</f>
        <v/>
      </c>
      <c r="H61" s="14" t="n">
        <v>4</v>
      </c>
      <c r="I61" s="14" t="n">
        <v>14</v>
      </c>
      <c r="J61" s="14" t="n">
        <v>0</v>
      </c>
      <c r="K61" s="14" t="n">
        <v>11</v>
      </c>
      <c r="L61" s="12" t="n"/>
    </row>
    <row r="62">
      <c r="A62" s="11" t="inlineStr">
        <is>
          <t>H7</t>
        </is>
      </c>
      <c r="B62" s="11" t="inlineStr">
        <is>
          <t>Observado</t>
        </is>
      </c>
      <c r="C62" s="12" t="inlineStr">
        <is>
          <t>Valoración positiva del control o del deco (accesos directos, luz apagada)</t>
        </is>
      </c>
      <c r="D62" s="12" t="inlineStr">
        <is>
          <t>V17, V24</t>
        </is>
      </c>
      <c r="E62" s="11">
        <f>LEN(D62)-LEN(SUBSTITUTE(D62,"V",""))</f>
        <v/>
      </c>
      <c r="F62" s="11">
        <f>COUNTIF(Codificado!$E$2:$AE$2,"Sí")</f>
        <v/>
      </c>
      <c r="G62" s="13">
        <f>IFERROR(E62/F62,"-")</f>
        <v/>
      </c>
      <c r="H62" s="14" t="n">
        <v>0</v>
      </c>
      <c r="I62" s="14" t="n">
        <v>14</v>
      </c>
      <c r="J62" s="14" t="n">
        <v>2</v>
      </c>
      <c r="K62" s="14" t="n">
        <v>11</v>
      </c>
      <c r="L62" s="12" t="n"/>
    </row>
    <row r="63" ht="28" customHeight="1">
      <c r="A63" s="7" t="inlineStr">
        <is>
          <t>H8. La nueva interfaz del SO y del control remoto genera frustración en la adopción.</t>
        </is>
      </c>
    </row>
    <row r="64">
      <c r="A64" s="8" t="inlineStr">
        <is>
          <t>H8</t>
        </is>
      </c>
      <c r="B64" s="8" t="inlineStr">
        <is>
          <t>Registrado</t>
        </is>
      </c>
      <c r="C64" s="9" t="inlineStr">
        <is>
          <t>Señales (gestos, muecas, expresiones) de resistencia al cambio</t>
        </is>
      </c>
      <c r="D64" s="9" t="inlineStr">
        <is>
          <t>Habrá señales de resistencia (gestos, expresiones).  [confirma: S, Nota]</t>
        </is>
      </c>
      <c r="E64" s="8">
        <f>COUNTIFS(Codificado!$E$41:$AE$41,"S",Codificado!$E$2:$AE$2,"Sí")+COUNTIFS(Codificado!$E$41:$AE$41,"Nota",Codificado!$E$2:$AE$2,"Sí")</f>
        <v/>
      </c>
      <c r="F64" s="8">
        <f>COUNTIFS(Codificado!$E$41:$AE$41,"S",Codificado!$E$2:$AE$2,"Sí")+COUNTIFS(Codificado!$E$41:$AE$41,"Nota",Codificado!$E$2:$AE$2,"Sí")+COUNTIFS(Codificado!$E$41:$AE$41,"N",Codificado!$E$2:$AE$2,"Sí")</f>
        <v/>
      </c>
      <c r="G64" s="10">
        <f>IFERROR(E64/F64,"-")</f>
        <v/>
      </c>
      <c r="H64" s="8">
        <f>COUNTIFS(Codificado!$E$41:$T$41,"S",Codificado!$E$2:$T$2,"Sí")+COUNTIFS(Codificado!$E$41:$T$41,"Nota",Codificado!$E$2:$T$2,"Sí")</f>
        <v/>
      </c>
      <c r="I64" s="8">
        <f>COUNTIFS(Codificado!$E$41:$T$41,"S",Codificado!$E$2:$T$2,"Sí")+COUNTIFS(Codificado!$E$41:$T$41,"Nota",Codificado!$E$2:$T$2,"Sí")+COUNTIFS(Codificado!$E$41:$T$41,"N",Codificado!$E$2:$T$2,"Sí")</f>
        <v/>
      </c>
      <c r="J64" s="8">
        <f>COUNTIFS(Codificado!$U$41:$AE$41,"S",Codificado!$U$2:$AE$2,"Sí")+COUNTIFS(Codificado!$U$41:$AE$41,"Nota",Codificado!$U$2:$AE$2,"Sí")</f>
        <v/>
      </c>
      <c r="K64" s="8">
        <f>COUNTIFS(Codificado!$U$41:$AE$41,"S",Codificado!$U$2:$AE$2,"Sí")+COUNTIFS(Codificado!$U$41:$AE$41,"Nota",Codificado!$U$2:$AE$2,"Sí")+COUNTIFS(Codificado!$U$41:$AE$41,"N",Codificado!$U$2:$AE$2,"Sí")</f>
        <v/>
      </c>
      <c r="L64" s="9" t="n"/>
    </row>
    <row r="65">
      <c r="A65" s="8" t="inlineStr">
        <is>
          <t>H8</t>
        </is>
      </c>
      <c r="B65" s="8" t="inlineStr">
        <is>
          <t>Registrado</t>
        </is>
      </c>
      <c r="C65" s="9" t="inlineStr">
        <is>
          <t>El cliente manifiesta rechazo ante la nueva interfaz</t>
        </is>
      </c>
      <c r="D65" s="9" t="inlineStr">
        <is>
          <t>El cliente manifestará rechazo a la nueva interfaz.  [confirma: S, Nota]</t>
        </is>
      </c>
      <c r="E65" s="8">
        <f>COUNTIFS(Codificado!$E$44:$AE$44,"S",Codificado!$E$2:$AE$2,"Sí")+COUNTIFS(Codificado!$E$44:$AE$44,"Nota",Codificado!$E$2:$AE$2,"Sí")</f>
        <v/>
      </c>
      <c r="F65" s="8">
        <f>COUNTIFS(Codificado!$E$44:$AE$44,"S",Codificado!$E$2:$AE$2,"Sí")+COUNTIFS(Codificado!$E$44:$AE$44,"Nota",Codificado!$E$2:$AE$2,"Sí")+COUNTIFS(Codificado!$E$44:$AE$44,"N",Codificado!$E$2:$AE$2,"Sí")</f>
        <v/>
      </c>
      <c r="G65" s="10">
        <f>IFERROR(E65/F65,"-")</f>
        <v/>
      </c>
      <c r="H65" s="8">
        <f>COUNTIFS(Codificado!$E$44:$T$44,"S",Codificado!$E$2:$T$2,"Sí")+COUNTIFS(Codificado!$E$44:$T$44,"Nota",Codificado!$E$2:$T$2,"Sí")</f>
        <v/>
      </c>
      <c r="I65" s="8">
        <f>COUNTIFS(Codificado!$E$44:$T$44,"S",Codificado!$E$2:$T$2,"Sí")+COUNTIFS(Codificado!$E$44:$T$44,"Nota",Codificado!$E$2:$T$2,"Sí")+COUNTIFS(Codificado!$E$44:$T$44,"N",Codificado!$E$2:$T$2,"Sí")</f>
        <v/>
      </c>
      <c r="J65" s="8">
        <f>COUNTIFS(Codificado!$U$44:$AE$44,"S",Codificado!$U$2:$AE$2,"Sí")+COUNTIFS(Codificado!$U$44:$AE$44,"Nota",Codificado!$U$2:$AE$2,"Sí")</f>
        <v/>
      </c>
      <c r="K65" s="8">
        <f>COUNTIFS(Codificado!$U$44:$AE$44,"S",Codificado!$U$2:$AE$2,"Sí")+COUNTIFS(Codificado!$U$44:$AE$44,"Nota",Codificado!$U$2:$AE$2,"Sí")+COUNTIFS(Codificado!$U$44:$AE$44,"N",Codificado!$U$2:$AE$2,"Sí")</f>
        <v/>
      </c>
      <c r="L65" s="9" t="n"/>
    </row>
    <row r="66">
      <c r="A66" s="8" t="inlineStr">
        <is>
          <t>H8</t>
        </is>
      </c>
      <c r="B66" s="8" t="inlineStr">
        <is>
          <t>Registrado</t>
        </is>
      </c>
      <c r="C66" s="9" t="inlineStr">
        <is>
          <t>Inseguridad manifiesta ("voy a necesitar ayuda", "no creo que pueda")</t>
        </is>
      </c>
      <c r="D66" s="9" t="inlineStr">
        <is>
          <t>El cliente expresará inseguridad.  [confirma: S, Nota]</t>
        </is>
      </c>
      <c r="E66" s="8">
        <f>COUNTIFS(Codificado!$E$42:$AE$42,"S",Codificado!$E$2:$AE$2,"Sí")+COUNTIFS(Codificado!$E$42:$AE$42,"Nota",Codificado!$E$2:$AE$2,"Sí")</f>
        <v/>
      </c>
      <c r="F66" s="8">
        <f>COUNTIFS(Codificado!$E$42:$AE$42,"S",Codificado!$E$2:$AE$2,"Sí")+COUNTIFS(Codificado!$E$42:$AE$42,"Nota",Codificado!$E$2:$AE$2,"Sí")+COUNTIFS(Codificado!$E$42:$AE$42,"N",Codificado!$E$2:$AE$2,"Sí")</f>
        <v/>
      </c>
      <c r="G66" s="10">
        <f>IFERROR(E66/F66,"-")</f>
        <v/>
      </c>
      <c r="H66" s="8">
        <f>COUNTIFS(Codificado!$E$42:$T$42,"S",Codificado!$E$2:$T$2,"Sí")+COUNTIFS(Codificado!$E$42:$T$42,"Nota",Codificado!$E$2:$T$2,"Sí")</f>
        <v/>
      </c>
      <c r="I66" s="8">
        <f>COUNTIFS(Codificado!$E$42:$T$42,"S",Codificado!$E$2:$T$2,"Sí")+COUNTIFS(Codificado!$E$42:$T$42,"Nota",Codificado!$E$2:$T$2,"Sí")+COUNTIFS(Codificado!$E$42:$T$42,"N",Codificado!$E$2:$T$2,"Sí")</f>
        <v/>
      </c>
      <c r="J66" s="8">
        <f>COUNTIFS(Codificado!$U$42:$AE$42,"S",Codificado!$U$2:$AE$2,"Sí")+COUNTIFS(Codificado!$U$42:$AE$42,"Nota",Codificado!$U$2:$AE$2,"Sí")</f>
        <v/>
      </c>
      <c r="K66" s="8">
        <f>COUNTIFS(Codificado!$U$42:$AE$42,"S",Codificado!$U$2:$AE$2,"Sí")+COUNTIFS(Codificado!$U$42:$AE$42,"Nota",Codificado!$U$2:$AE$2,"Sí")+COUNTIFS(Codificado!$U$42:$AE$42,"N",Codificado!$U$2:$AE$2,"Sí")</f>
        <v/>
      </c>
      <c r="L66" s="9" t="n"/>
    </row>
    <row r="67">
      <c r="A67" s="8" t="inlineStr">
        <is>
          <t>H8</t>
        </is>
      </c>
      <c r="B67" s="8" t="inlineStr">
        <is>
          <t>Registrado</t>
        </is>
      </c>
      <c r="C67" s="9" t="inlineStr">
        <is>
          <t>El cliente requiere asistencia permanente del técnico (falta de autonomía)</t>
        </is>
      </c>
      <c r="D67" s="9" t="inlineStr">
        <is>
          <t>El cliente requerirá asistencia permanente del técnico.  [confirma: S, Nota]</t>
        </is>
      </c>
      <c r="E67" s="8">
        <f>COUNTIFS(Codificado!$E$43:$AE$43,"S",Codificado!$E$2:$AE$2,"Sí")+COUNTIFS(Codificado!$E$43:$AE$43,"Nota",Codificado!$E$2:$AE$2,"Sí")</f>
        <v/>
      </c>
      <c r="F67" s="8">
        <f>COUNTIFS(Codificado!$E$43:$AE$43,"S",Codificado!$E$2:$AE$2,"Sí")+COUNTIFS(Codificado!$E$43:$AE$43,"Nota",Codificado!$E$2:$AE$2,"Sí")+COUNTIFS(Codificado!$E$43:$AE$43,"N",Codificado!$E$2:$AE$2,"Sí")</f>
        <v/>
      </c>
      <c r="G67" s="10">
        <f>IFERROR(E67/F67,"-")</f>
        <v/>
      </c>
      <c r="H67" s="8">
        <f>COUNTIFS(Codificado!$E$43:$T$43,"S",Codificado!$E$2:$T$2,"Sí")+COUNTIFS(Codificado!$E$43:$T$43,"Nota",Codificado!$E$2:$T$2,"Sí")</f>
        <v/>
      </c>
      <c r="I67" s="8">
        <f>COUNTIFS(Codificado!$E$43:$T$43,"S",Codificado!$E$2:$T$2,"Sí")+COUNTIFS(Codificado!$E$43:$T$43,"Nota",Codificado!$E$2:$T$2,"Sí")+COUNTIFS(Codificado!$E$43:$T$43,"N",Codificado!$E$2:$T$2,"Sí")</f>
        <v/>
      </c>
      <c r="J67" s="8">
        <f>COUNTIFS(Codificado!$U$43:$AE$43,"S",Codificado!$U$2:$AE$2,"Sí")+COUNTIFS(Codificado!$U$43:$AE$43,"Nota",Codificado!$U$2:$AE$2,"Sí")</f>
        <v/>
      </c>
      <c r="K67" s="8">
        <f>COUNTIFS(Codificado!$U$43:$AE$43,"S",Codificado!$U$2:$AE$2,"Sí")+COUNTIFS(Codificado!$U$43:$AE$43,"Nota",Codificado!$U$2:$AE$2,"Sí")+COUNTIFS(Codificado!$U$43:$AE$43,"N",Codificado!$U$2:$AE$2,"Sí")</f>
        <v/>
      </c>
      <c r="L67" s="9" t="n"/>
    </row>
    <row r="68">
      <c r="A68" s="11" t="inlineStr">
        <is>
          <t>H8</t>
        </is>
      </c>
      <c r="B68" s="11" t="inlineStr">
        <is>
          <t>Observado</t>
        </is>
      </c>
      <c r="C68" s="12" t="inlineStr">
        <is>
          <t>Frases de comparación: todas neutras o positivas ("es más chico", "es más nuevo")</t>
        </is>
      </c>
      <c r="D68" s="12" t="inlineStr">
        <is>
          <t>V05, V06, V08, V09, V12</t>
        </is>
      </c>
      <c r="E68" s="11">
        <f>LEN(D68)-LEN(SUBSTITUTE(D68,"V",""))</f>
        <v/>
      </c>
      <c r="F68" s="11">
        <f>COUNTIF(Codificado!$E$2:$AE$2,"Sí")</f>
        <v/>
      </c>
      <c r="G68" s="13">
        <f>IFERROR(E68/F68,"-")</f>
        <v/>
      </c>
      <c r="H68" s="14" t="n">
        <v>5</v>
      </c>
      <c r="I68" s="14" t="n">
        <v>14</v>
      </c>
      <c r="J68" s="14" t="n">
        <v>0</v>
      </c>
      <c r="K68" s="14" t="n">
        <v>11</v>
      </c>
      <c r="L68" s="12" t="n"/>
    </row>
    <row r="69">
      <c r="A69" s="11" t="inlineStr">
        <is>
          <t>H8</t>
        </is>
      </c>
      <c r="B69" s="11" t="inlineStr">
        <is>
          <t>Observado</t>
        </is>
      </c>
      <c r="C69" s="12" t="inlineStr">
        <is>
          <t>Caso único de inseguridad, dependencia y dudas por la UI (cliente escéptico)</t>
        </is>
      </c>
      <c r="D69" s="12" t="inlineStr">
        <is>
          <t>V05</t>
        </is>
      </c>
      <c r="E69" s="11">
        <f>LEN(D69)-LEN(SUBSTITUTE(D69,"V",""))</f>
        <v/>
      </c>
      <c r="F69" s="11">
        <f>COUNTIF(Codificado!$E$2:$AE$2,"Sí")</f>
        <v/>
      </c>
      <c r="G69" s="13">
        <f>IFERROR(E69/F69,"-")</f>
        <v/>
      </c>
      <c r="H69" s="14" t="n">
        <v>1</v>
      </c>
      <c r="I69" s="14" t="n">
        <v>14</v>
      </c>
      <c r="J69" s="14" t="n">
        <v>0</v>
      </c>
      <c r="K69" s="14" t="n">
        <v>11</v>
      </c>
      <c r="L69" s="12" t="n"/>
    </row>
  </sheetData>
  <mergeCells count="9">
    <mergeCell ref="A30:L30"/>
    <mergeCell ref="A2:L2"/>
    <mergeCell ref="A54:L54"/>
    <mergeCell ref="A63:L63"/>
    <mergeCell ref="A47:L47"/>
    <mergeCell ref="A5:L5"/>
    <mergeCell ref="A37:L37"/>
    <mergeCell ref="A14:L14"/>
    <mergeCell ref="A21:L2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4" customWidth="1" min="3" max="3"/>
    <col width="11" customWidth="1" min="4" max="4"/>
    <col width="50" customWidth="1" min="5" max="5"/>
    <col width="40" customWidth="1" min="6" max="6"/>
    <col width="36" customWidth="1" min="7" max="7"/>
    <col width="34" customWidth="1" min="8" max="8"/>
  </cols>
  <sheetData>
    <row r="1">
      <c r="A1" s="6" t="inlineStr">
        <is>
          <t>Hip.</t>
        </is>
      </c>
      <c r="B1" s="6" t="inlineStr">
        <is>
          <t>Enunciado original</t>
        </is>
      </c>
      <c r="C1" s="6" t="inlineStr">
        <is>
          <t>Veredicto</t>
        </is>
      </c>
      <c r="D1" s="6" t="inlineStr">
        <is>
          <t>Confianza</t>
        </is>
      </c>
      <c r="E1" s="6" t="inlineStr">
        <is>
          <t>Justificación (registrado + observado)</t>
        </is>
      </c>
      <c r="F1" s="6" t="inlineStr">
        <is>
          <t>Contraevidencia</t>
        </is>
      </c>
      <c r="G1" s="6" t="inlineStr">
        <is>
          <t>Reformulación propuesta</t>
        </is>
      </c>
      <c r="H1" s="6" t="inlineStr">
        <is>
          <t>Qué falta para cerrarla</t>
        </is>
      </c>
    </row>
    <row r="2">
      <c r="A2" s="8" t="inlineStr">
        <is>
          <t>H1</t>
        </is>
      </c>
      <c r="B2" s="9" t="inlineStr">
        <is>
          <t>Existen momentos críticos dentro de la visita (llegada, explicación, instalación, prueba y cierre) que determinan la satisfacción final del cliente.</t>
        </is>
      </c>
      <c r="C2" s="16" t="inlineStr">
        <is>
          <t>Parcial</t>
        </is>
      </c>
      <c r="D2" s="8" t="inlineStr">
        <is>
          <t>Media</t>
        </is>
      </c>
      <c r="E2" s="9" t="inlineStr">
        <is>
          <t>Hay dos momentos que concentran la reacción del cliente: la prueba del servicio y la explicación del motivo. La instalación no es un momento crítico. La parte causal de la hipótesis (que esos momentos determinan la satisfacción final) no se puede verificar sin NPS de la visita.</t>
        </is>
      </c>
      <c r="F2" s="9" t="inlineStr">
        <is>
          <t>La instalación no genera ninguna reacción y el cierre casi ninguna. No hay medición de satisfacción final (NPS/CSAT) en la visita, así que no se puede demostrar que estos momentos la determinen. En el Técnico B, el 11/11 de 'Explicación' está influido por la explicación en la puerta.</t>
        </is>
      </c>
      <c r="G2" s="9" t="inlineStr">
        <is>
          <t>La prueba del servicio y la explicación del motivo concentran las dudas y emociones del cliente durante la visita.</t>
        </is>
      </c>
      <c r="H2" s="9" t="inlineStr">
        <is>
          <t>Cruzar con el NPS/CSAT de la visita en el piloto para validar el vínculo con la satisfacción final.</t>
        </is>
      </c>
    </row>
    <row r="3">
      <c r="A3" s="8" t="inlineStr">
        <is>
          <t>H2</t>
        </is>
      </c>
      <c r="B3" s="9" t="inlineStr">
        <is>
          <t>La experiencia del cliente depende en gran medida de la capacidad del técnico para explicar beneficios, funcionamiento y pasos de la instalación.</t>
        </is>
      </c>
      <c r="C3" s="17" t="inlineStr">
        <is>
          <t>Validada</t>
        </is>
      </c>
      <c r="D3" s="8" t="inlineStr">
        <is>
          <t>Alta</t>
        </is>
      </c>
      <c r="E3" s="9" t="inlineStr">
        <is>
          <t>Los dos técnicos muestran el mismo patrón: responden bien cuando les preguntan, pero no explican de forma proactiva la Guía (22/25). Las dudas del cliente aparecen justo en lo que no se explica. El técnico es el único canal de aprendizaje del cliente.</t>
        </is>
      </c>
      <c r="F3" s="9" t="inlineStr">
        <is>
          <t>La capacidad reactiva del técnico es muy buena (25/25). La brecha no es de capacidad sino de proceso: la explicación depende de lo que pregunte el cliente.</t>
        </is>
      </c>
      <c r="G3" s="9" t="inlineStr">
        <is>
          <t>—</t>
        </is>
      </c>
      <c r="H3" s="9" t="inlineStr">
        <is>
          <t>Medir si la explicación de "los 5 botones" reduce los contactos por uso a 7 y 30 días.</t>
        </is>
      </c>
    </row>
    <row r="4">
      <c r="A4" s="8" t="inlineStr">
        <is>
          <t>H3</t>
        </is>
      </c>
      <c r="B4" s="9" t="inlineStr">
        <is>
          <t>Existen barreras operativas y administrativas que afectan la fluidez de la instalación.</t>
        </is>
      </c>
      <c r="C4" s="16" t="inlineStr">
        <is>
          <t>Parcial</t>
        </is>
      </c>
      <c r="D4" s="8" t="inlineStr">
        <is>
          <t>Alta</t>
        </is>
      </c>
      <c r="E4" s="9" t="inlineStr">
        <is>
          <t>Se refuta en lo técnico-operativo: el proceso de instalación es fluido en los dos técnicos. Se valida en lo registral y del hogar, con quiebres puntuales (inventario, HDMI, conciliación diferida) que a escala pueden generar órdenes que no cierran.</t>
        </is>
      </c>
      <c r="F4" s="9" t="inlineStr">
        <is>
          <t>No hubo reintentos ni llamadas a soporte, y el retiro de equipos, el perfil y la conciliación se completaron en los 25 recambios.</t>
        </is>
      </c>
      <c r="G4" s="9" t="inlineStr">
        <is>
          <t>Las barreras no están en la instalación, sino en la calidad del registro de equipos y en las condiciones del hogar.</t>
        </is>
      </c>
      <c r="H4" s="9" t="inlineStr">
        <is>
          <t>Medir el % de órdenes con discrepancia de inventario en el piloto.</t>
        </is>
      </c>
    </row>
    <row r="5">
      <c r="A5" s="8" t="inlineStr">
        <is>
          <t>H4</t>
        </is>
      </c>
      <c r="B5" s="9" t="inlineStr">
        <is>
          <t>Parte de las fricciones no están asociadas al dispositivo, sino a limitaciones de gestión y registro (suscripciones, credenciales).</t>
        </is>
      </c>
      <c r="C5" s="17" t="inlineStr">
        <is>
          <t>Validada</t>
        </is>
      </c>
      <c r="D5" s="8" t="inlineStr">
        <is>
          <t>Media</t>
        </is>
      </c>
      <c r="E5" s="9" t="inlineStr">
        <is>
          <t>Toda la fricción de continuidad está en las apps de terceros y en sus credenciales, no en el deco. La confianza es media porque las apps no se probaron en la mayoría de las visitas (17 a 19 N/A): 8/25 es un piso, no una tasa.</t>
        </is>
      </c>
      <c r="F5" s="9" t="inlineStr">
        <is>
          <t>Las suscripciones propias de Movistar (packs) se mantienen: no se registró ninguna pérdida. El hardware no generó fricción.</t>
        </is>
      </c>
      <c r="G5" s="9" t="inlineStr">
        <is>
          <t>—</t>
        </is>
      </c>
      <c r="H5" s="9" t="inlineStr">
        <is>
          <t>Agregar a la ficha del piloto un paso obligatorio: "probar Netflix y YouTube".</t>
        </is>
      </c>
    </row>
    <row r="6">
      <c r="A6" s="8" t="inlineStr">
        <is>
          <t>H5</t>
        </is>
      </c>
      <c r="B6" s="9" t="inlineStr">
        <is>
          <t>Existen consultas recurrentes que podrían resolverse previamente mediante comunicaciones o materiales explicativos.</t>
        </is>
      </c>
      <c r="C6" s="17" t="inlineStr">
        <is>
          <t>Validada</t>
        </is>
      </c>
      <c r="D6" s="8" t="inlineStr">
        <is>
          <t>Alta</t>
        </is>
      </c>
      <c r="E6" s="9" t="inlineStr">
        <is>
          <t>Hay un patrón recurrente y previsible en los dos técnicos: motivo del cambio (10/25), uso del control y apps, y pedidos ajenos. Todas son resolubles con comunicación previa y material de apoyo.</t>
        </is>
      </c>
      <c r="F6" s="9" t="inlineStr">
        <is>
          <t>Las consultas administrativas (costo, titularidad) son marginales: 1/25.</t>
        </is>
      </c>
      <c r="G6" s="9" t="inlineStr">
        <is>
          <t>—</t>
        </is>
      </c>
      <c r="H6" s="9" t="inlineStr">
        <is>
          <t>Medir en el piloto si el mensaje previo por WhatsApp reduce la pregunta por el motivo.</t>
        </is>
      </c>
    </row>
    <row r="7">
      <c r="A7" s="8" t="inlineStr">
        <is>
          <t>H6</t>
        </is>
      </c>
      <c r="B7" s="9" t="inlineStr">
        <is>
          <t>Los clientes llegan a la visita con bajo conocimiento sobre el motivo y alcance del cambio de deco.</t>
        </is>
      </c>
      <c r="C7" s="16" t="inlineStr">
        <is>
          <t>Parcial</t>
        </is>
      </c>
      <c r="D7" s="8" t="inlineStr">
        <is>
          <t>Baja</t>
        </is>
      </c>
      <c r="E7" s="9" t="inlineStr">
        <is>
          <t>El cliente sabe que habrá un cambio, pero no entiende para qué ni por qué. La confianza es baja: la explicación en la puerta (V17-V27) interviene sobre lo que se quería observar y dos criterios tienen alertas de polaridad.</t>
        </is>
      </c>
      <c r="F7" s="9" t="inlineStr">
        <is>
          <t>El contacto previo se recuerda (11/11 en el Técnico B) y nadie asumió otro alcance (0/24). El criterio "entiende el motivo" no se usa porque tiene la polaridad invertida en V17-V27.</t>
        </is>
      </c>
      <c r="G7" s="9" t="inlineStr">
        <is>
          <t>Los clientes saben que habrá un cambio, pero no comprenden el motivo ni el beneficio, y la información no llega a todos los miembros del hogar.</t>
        </is>
      </c>
      <c r="H7" s="9" t="inlineStr">
        <is>
          <t>Observar en el piloto sin explicar el motivo antes de registrar la reacción del cliente.</t>
        </is>
      </c>
    </row>
    <row r="8">
      <c r="A8" s="8" t="inlineStr">
        <is>
          <t>H7</t>
        </is>
      </c>
      <c r="B8" s="9" t="inlineStr">
        <is>
          <t>La nueva interfaz del SO y del control remoto genera dificultades de uso.</t>
        </is>
      </c>
      <c r="C8" s="18" t="inlineStr">
        <is>
          <t>No concluyente</t>
        </is>
      </c>
      <c r="D8" s="8" t="inlineStr">
        <is>
          <t>Baja</t>
        </is>
      </c>
      <c r="E8" s="9" t="inlineStr">
        <is>
          <t>Dentro de la visita no hay dificultades, pero el técnico maneja el control y 4 clientes ni lo tocaron. El uso autónomo ocurre después de la visita, donde la etnografía no llega.</t>
        </is>
      </c>
      <c r="F8" s="9" t="inlineStr">
        <is>
          <t>En la visita, el 100% ve el contenido y el perfil, y no se registraron errores.</t>
        </is>
      </c>
      <c r="G8" s="9" t="inlineStr">
        <is>
          <t>—</t>
        </is>
      </c>
      <c r="H8" s="9" t="inlineStr">
        <is>
          <t>Validar con la encuesta posterior (Qualtrics) y con los contactos por uso a 7 y 30 días.</t>
        </is>
      </c>
    </row>
    <row r="9">
      <c r="A9" s="8" t="inlineStr">
        <is>
          <t>H8</t>
        </is>
      </c>
      <c r="B9" s="9" t="inlineStr">
        <is>
          <t>La nueva interfaz del SO y del control remoto genera frustración en la adopción.</t>
        </is>
      </c>
      <c r="C9" s="19" t="inlineStr">
        <is>
          <t>Refutada</t>
        </is>
      </c>
      <c r="D9" s="8" t="inlineStr">
        <is>
          <t>Alta</t>
        </is>
      </c>
      <c r="E9" s="9" t="inlineStr">
        <is>
          <t>No hay señales de resistencia en 25/25 y no se registró ningún "antes era más fácil". La adopción emocional es positiva en los dos técnicos.</t>
        </is>
      </c>
      <c r="F9" s="9" t="inlineStr">
        <is>
          <t>Un solo caso (V05) concentra la inseguridad, la dependencia y las dudas sobre la interfaz.</t>
        </is>
      </c>
      <c r="G9" s="9" t="inlineStr">
        <is>
          <t>—</t>
        </is>
      </c>
      <c r="H9" s="9" t="inlineStr">
        <is>
          <t>Seguir el perfil del caso V05 (escéptico y dependiente de un familiar) en la encuesta.</t>
        </is>
      </c>
    </row>
    <row r="11">
      <c r="A11" s="6" t="inlineStr">
        <is>
          <t>Id</t>
        </is>
      </c>
      <c r="B11" s="6" t="inlineStr">
        <is>
          <t>Hipótesis emergente (surgida en campo)</t>
        </is>
      </c>
      <c r="C11" s="6" t="inlineStr">
        <is>
          <t>Evidencia (n)</t>
        </is>
      </c>
      <c r="D11" s="6" t="inlineStr">
        <is>
          <t>Visitas</t>
        </is>
      </c>
      <c r="E11" s="6" t="inlineStr">
        <is>
          <t>Cómo validarla en el piloto</t>
        </is>
      </c>
      <c r="F11" s="6" t="inlineStr"/>
      <c r="G11" s="6" t="inlineStr"/>
      <c r="H11" s="6" t="inlineStr"/>
    </row>
    <row r="12">
      <c r="A12" s="8" t="inlineStr">
        <is>
          <t>E1</t>
        </is>
      </c>
      <c r="B12" s="9" t="inlineStr">
        <is>
          <t>La visita técnica funciona como canal de soporte general del hogar (módem, wifi, deco adicional).</t>
        </is>
      </c>
      <c r="C12" s="8">
        <f>LEN(D12)-LEN(SUBSTITUTE(D12,"V",""))</f>
        <v/>
      </c>
      <c r="D12" s="9" t="inlineStr">
        <is>
          <t>V03, V11, V13, V22</t>
        </is>
      </c>
      <c r="E12" s="9" t="inlineStr">
        <is>
          <t>Protocolo de derivación. Medir en el piloto el % de visitas con pedidos ajenos.</t>
        </is>
      </c>
    </row>
    <row r="13">
      <c r="A13" s="8" t="inlineStr">
        <is>
          <t>E2</t>
        </is>
      </c>
      <c r="B13" s="9" t="inlineStr">
        <is>
          <t>La comunicación previa llega a quien atiende el contacto, no a quien recibe al técnico ni a quien usa la TV.</t>
        </is>
      </c>
      <c r="C13" s="8">
        <f>LEN(D13)-LEN(SUBSTITUTE(D13,"V",""))</f>
        <v/>
      </c>
      <c r="D13" s="9" t="inlineStr">
        <is>
          <t>V01, V04, V09</t>
        </is>
      </c>
      <c r="E13" s="9" t="inlineStr">
        <is>
          <t>Mensaje reenviable. Registrar en la ficha quién recibe al técnico.</t>
        </is>
      </c>
    </row>
    <row r="14">
      <c r="A14" s="8" t="inlineStr">
        <is>
          <t>E3</t>
        </is>
      </c>
      <c r="B14" s="9" t="inlineStr">
        <is>
          <t>Los clientes mayores delegan en un familiar la configuración de las apps, y eso posterga su uso.</t>
        </is>
      </c>
      <c r="C14" s="8">
        <f>LEN(D14)-LEN(SUBSTITUTE(D14,"V",""))</f>
        <v/>
      </c>
      <c r="D14" s="9" t="inlineStr">
        <is>
          <t>V05, V22</t>
        </is>
      </c>
      <c r="E14" s="9" t="inlineStr">
        <is>
          <t>Registrar el perfil y la dependencia. Preguntar en la encuesta si ya usa las apps.</t>
        </is>
      </c>
    </row>
    <row r="15">
      <c r="A15" s="8" t="inlineStr">
        <is>
          <t>E4</t>
        </is>
      </c>
      <c r="B15" s="9" t="inlineStr">
        <is>
          <t>El tiempo de visita escala con la cantidad de decos (1 deco ≈ 17 min; 3 decos ≈ 27 min).</t>
        </is>
      </c>
      <c r="C15" s="8">
        <f>LEN(D15)-LEN(SUBSTITUTE(D15,"V",""))</f>
        <v/>
      </c>
      <c r="D15" s="9" t="inlineStr">
        <is>
          <t>V01, V11, V25</t>
        </is>
      </c>
      <c r="E15" s="9" t="inlineStr">
        <is>
          <t>Validar con los tiempos del sistema para la planificación de la agenda.</t>
        </is>
      </c>
    </row>
    <row r="17">
      <c r="A17" s="6" t="inlineStr"/>
      <c r="B17" s="6" t="inlineStr">
        <is>
          <t>Regla de veredicto</t>
        </is>
      </c>
      <c r="C17" s="6" t="inlineStr"/>
      <c r="D17" s="6" t="inlineStr"/>
      <c r="E17" s="6" t="inlineStr"/>
      <c r="F17" s="6" t="inlineStr"/>
      <c r="G17" s="6" t="inlineStr"/>
      <c r="H17" s="6" t="inlineStr"/>
    </row>
    <row r="18">
      <c r="A18" s="20" t="inlineStr">
        <is>
          <t>Validada</t>
        </is>
      </c>
      <c r="B18" s="9" t="inlineStr">
        <is>
          <t>La predicción se confirma en el registro y en lo observado, en los dos técnicos, sin contraevidencia relevante.</t>
        </is>
      </c>
      <c r="C18" s="21" t="n"/>
      <c r="D18" s="21" t="n"/>
      <c r="E18" s="22" t="n"/>
    </row>
    <row r="19">
      <c r="A19" s="20" t="inlineStr">
        <is>
          <t>Parcial</t>
        </is>
      </c>
      <c r="B19" s="9" t="inlineStr">
        <is>
          <t>La predicción se confirma en una parte de los indicadores y se contradice en otra, o se sostiene solo en un subconjunto de casos. Se propone reformularla.</t>
        </is>
      </c>
      <c r="C19" s="21" t="n"/>
      <c r="D19" s="21" t="n"/>
      <c r="E19" s="22" t="n"/>
    </row>
    <row r="20">
      <c r="A20" s="20" t="inlineStr">
        <is>
          <t>Refutada</t>
        </is>
      </c>
      <c r="B20" s="9" t="inlineStr">
        <is>
          <t>La predicción no se confirma en al menos el 80% de los casos aplicables, con registro y observación coincidentes.</t>
        </is>
      </c>
      <c r="C20" s="21" t="n"/>
      <c r="D20" s="21" t="n"/>
      <c r="E20" s="22" t="n"/>
    </row>
    <row r="21">
      <c r="A21" s="20" t="inlineStr">
        <is>
          <t>No concluyente</t>
        </is>
      </c>
      <c r="B21" s="9" t="inlineStr">
        <is>
          <t>El método de campo no permite observarla o el dato tiene problemas de polaridad o sesgo que impiden leerla.</t>
        </is>
      </c>
      <c r="C21" s="21" t="n"/>
      <c r="D21" s="21" t="n"/>
      <c r="E21" s="22" t="n"/>
    </row>
    <row r="22">
      <c r="A22" s="20" t="n"/>
      <c r="B22" s="9" t="n"/>
      <c r="C22" s="21" t="n"/>
      <c r="D22" s="21" t="n"/>
      <c r="E22" s="22" t="n"/>
    </row>
    <row r="23">
      <c r="A23" s="20" t="inlineStr">
        <is>
          <t>Alta</t>
        </is>
      </c>
      <c r="B23" s="9" t="inlineStr">
        <is>
          <t>Registro y observación coinciden, los dos técnicos muestran el mismo patrón y los criterios no tienen alertas de calidad.</t>
        </is>
      </c>
      <c r="C23" s="21" t="n"/>
      <c r="D23" s="21" t="n"/>
      <c r="E23" s="22" t="n"/>
    </row>
    <row r="24">
      <c r="A24" s="20" t="inlineStr">
        <is>
          <t>Media</t>
        </is>
      </c>
      <c r="B24" s="9" t="inlineStr">
        <is>
          <t>Hay coincidencia, pero con muchos N/A (el indicador no se relevó de forma sistemática) o con evidencia concentrada en un solo técnico.</t>
        </is>
      </c>
      <c r="C24" s="21" t="n"/>
      <c r="D24" s="21" t="n"/>
      <c r="E24" s="22" t="n"/>
    </row>
    <row r="25">
      <c r="A25" s="20" t="inlineStr">
        <is>
          <t>Baja</t>
        </is>
      </c>
      <c r="B25" s="9" t="inlineStr">
        <is>
          <t>Hay alertas de polaridad, sesgo de intervención del observador o el fenómeno ocurre fuera de la visita.</t>
        </is>
      </c>
      <c r="C25" s="21" t="n"/>
      <c r="D25" s="21" t="n"/>
      <c r="E25" s="22" t="n"/>
    </row>
  </sheetData>
  <mergeCells count="8">
    <mergeCell ref="B23:E23"/>
    <mergeCell ref="B18:E18"/>
    <mergeCell ref="B21:E21"/>
    <mergeCell ref="B25:E25"/>
    <mergeCell ref="B24:E24"/>
    <mergeCell ref="B19:E19"/>
    <mergeCell ref="B20:E20"/>
    <mergeCell ref="B22:E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52" customWidth="1" min="2" max="2"/>
    <col width="8" customWidth="1" min="3" max="3"/>
    <col width="6" customWidth="1" min="4" max="4"/>
    <col width="6" customWidth="1" min="5" max="5"/>
    <col width="6" customWidth="1" min="6" max="6"/>
    <col width="7" customWidth="1" min="7" max="7"/>
    <col width="11" customWidth="1" min="8" max="8"/>
    <col width="7" customWidth="1" min="9" max="9"/>
    <col width="12" customWidth="1" min="10" max="10"/>
    <col width="26" customWidth="1" min="11" max="11"/>
  </cols>
  <sheetData>
    <row r="1">
      <c r="A1" s="6" t="inlineStr">
        <is>
          <t>Hipótesis</t>
        </is>
      </c>
      <c r="B1" s="6" t="inlineStr">
        <is>
          <t>Criterio (redacción positiva)</t>
        </is>
      </c>
      <c r="C1" s="6" t="inlineStr">
        <is>
          <t>Alerta</t>
        </is>
      </c>
      <c r="D1" s="6" t="inlineStr">
        <is>
          <t>S</t>
        </is>
      </c>
      <c r="E1" s="6" t="inlineStr">
        <is>
          <t>N</t>
        </is>
      </c>
      <c r="F1" s="6" t="inlineStr">
        <is>
          <t>N/A</t>
        </is>
      </c>
      <c r="G1" s="6" t="inlineStr">
        <is>
          <t>Nota</t>
        </is>
      </c>
      <c r="H1" s="6" t="inlineStr">
        <is>
          <t>Sin registro</t>
        </is>
      </c>
      <c r="I1" s="6" t="inlineStr">
        <is>
          <t>Base</t>
        </is>
      </c>
      <c r="J1" s="6" t="inlineStr">
        <is>
          <t>% S sobre (S+N)</t>
        </is>
      </c>
      <c r="K1" s="6" t="inlineStr">
        <is>
          <t>Lectura</t>
        </is>
      </c>
    </row>
    <row r="2">
      <c r="A2" s="8" t="inlineStr">
        <is>
          <t>H1</t>
        </is>
      </c>
      <c r="B2" s="9" t="inlineStr">
        <is>
          <t>Llegada: el momento genera una reacción relevante del cliente (sorpresa, duda, emoción)</t>
        </is>
      </c>
      <c r="C2" s="8" t="inlineStr">
        <is>
          <t>No</t>
        </is>
      </c>
      <c r="D2" s="8">
        <f>COUNTIFS(Codificado!$E$3:$AE$3,"S",Codificado!$E$2:$AE$2,"Sí")</f>
        <v/>
      </c>
      <c r="E2" s="8">
        <f>COUNTIFS(Codificado!$E$3:$AE$3,"N",Codificado!$E$2:$AE$2,"Sí")</f>
        <v/>
      </c>
      <c r="F2" s="8">
        <f>COUNTIFS(Codificado!$E$3:$AE$3,"N/A",Codificado!$E$2:$AE$2,"Sí")</f>
        <v/>
      </c>
      <c r="G2" s="8">
        <f>COUNTIFS(Codificado!$E$3:$AE$3,"Nota",Codificado!$E$2:$AE$2,"Sí")</f>
        <v/>
      </c>
      <c r="H2" s="8">
        <f>COUNTIFS(Codificado!$E$3:$AE$3,"Sin registro",Codificado!$E$2:$AE$2,"Sí")</f>
        <v/>
      </c>
      <c r="I2" s="8">
        <f>SUM(D2:H2)</f>
        <v/>
      </c>
      <c r="J2" s="10">
        <f>IFERROR(D2/(D2+E2),"-")</f>
        <v/>
      </c>
      <c r="K2" s="9" t="n"/>
    </row>
    <row r="3">
      <c r="A3" s="8" t="inlineStr">
        <is>
          <t>H1</t>
        </is>
      </c>
      <c r="B3" s="9" t="inlineStr">
        <is>
          <t>Explicación del cambio: el momento genera una reacción relevante del cliente</t>
        </is>
      </c>
      <c r="C3" s="8" t="inlineStr">
        <is>
          <t>No</t>
        </is>
      </c>
      <c r="D3" s="8">
        <f>COUNTIFS(Codificado!$E$4:$AE$4,"S",Codificado!$E$2:$AE$2,"Sí")</f>
        <v/>
      </c>
      <c r="E3" s="8">
        <f>COUNTIFS(Codificado!$E$4:$AE$4,"N",Codificado!$E$2:$AE$2,"Sí")</f>
        <v/>
      </c>
      <c r="F3" s="8">
        <f>COUNTIFS(Codificado!$E$4:$AE$4,"N/A",Codificado!$E$2:$AE$2,"Sí")</f>
        <v/>
      </c>
      <c r="G3" s="8">
        <f>COUNTIFS(Codificado!$E$4:$AE$4,"Nota",Codificado!$E$2:$AE$2,"Sí")</f>
        <v/>
      </c>
      <c r="H3" s="8">
        <f>COUNTIFS(Codificado!$E$4:$AE$4,"Sin registro",Codificado!$E$2:$AE$2,"Sí")</f>
        <v/>
      </c>
      <c r="I3" s="8">
        <f>SUM(D3:H3)</f>
        <v/>
      </c>
      <c r="J3" s="10">
        <f>IFERROR(D3/(D3+E3),"-")</f>
        <v/>
      </c>
      <c r="K3" s="9" t="n"/>
    </row>
    <row r="4">
      <c r="A4" s="8" t="inlineStr">
        <is>
          <t>H1</t>
        </is>
      </c>
      <c r="B4" s="9" t="inlineStr">
        <is>
          <t>Instalación: el momento genera una reacción relevante del cliente</t>
        </is>
      </c>
      <c r="C4" s="8" t="inlineStr">
        <is>
          <t>No</t>
        </is>
      </c>
      <c r="D4" s="8">
        <f>COUNTIFS(Codificado!$E$5:$AE$5,"S",Codificado!$E$2:$AE$2,"Sí")</f>
        <v/>
      </c>
      <c r="E4" s="8">
        <f>COUNTIFS(Codificado!$E$5:$AE$5,"N",Codificado!$E$2:$AE$2,"Sí")</f>
        <v/>
      </c>
      <c r="F4" s="8">
        <f>COUNTIFS(Codificado!$E$5:$AE$5,"N/A",Codificado!$E$2:$AE$2,"Sí")</f>
        <v/>
      </c>
      <c r="G4" s="8">
        <f>COUNTIFS(Codificado!$E$5:$AE$5,"Nota",Codificado!$E$2:$AE$2,"Sí")</f>
        <v/>
      </c>
      <c r="H4" s="8">
        <f>COUNTIFS(Codificado!$E$5:$AE$5,"Sin registro",Codificado!$E$2:$AE$2,"Sí")</f>
        <v/>
      </c>
      <c r="I4" s="8">
        <f>SUM(D4:H4)</f>
        <v/>
      </c>
      <c r="J4" s="10">
        <f>IFERROR(D4/(D4+E4),"-")</f>
        <v/>
      </c>
      <c r="K4" s="9" t="n"/>
    </row>
    <row r="5">
      <c r="A5" s="8" t="inlineStr">
        <is>
          <t>H1</t>
        </is>
      </c>
      <c r="B5" s="9" t="inlineStr">
        <is>
          <t>Prueba del servicio: el momento genera una reacción relevante del cliente</t>
        </is>
      </c>
      <c r="C5" s="8" t="inlineStr">
        <is>
          <t>No</t>
        </is>
      </c>
      <c r="D5" s="8">
        <f>COUNTIFS(Codificado!$E$6:$AE$6,"S",Codificado!$E$2:$AE$2,"Sí")</f>
        <v/>
      </c>
      <c r="E5" s="8">
        <f>COUNTIFS(Codificado!$E$6:$AE$6,"N",Codificado!$E$2:$AE$2,"Sí")</f>
        <v/>
      </c>
      <c r="F5" s="8">
        <f>COUNTIFS(Codificado!$E$6:$AE$6,"N/A",Codificado!$E$2:$AE$2,"Sí")</f>
        <v/>
      </c>
      <c r="G5" s="8">
        <f>COUNTIFS(Codificado!$E$6:$AE$6,"Nota",Codificado!$E$2:$AE$2,"Sí")</f>
        <v/>
      </c>
      <c r="H5" s="8">
        <f>COUNTIFS(Codificado!$E$6:$AE$6,"Sin registro",Codificado!$E$2:$AE$2,"Sí")</f>
        <v/>
      </c>
      <c r="I5" s="8">
        <f>SUM(D5:H5)</f>
        <v/>
      </c>
      <c r="J5" s="10">
        <f>IFERROR(D5/(D5+E5),"-")</f>
        <v/>
      </c>
      <c r="K5" s="9" t="n"/>
    </row>
    <row r="6">
      <c r="A6" s="8" t="inlineStr">
        <is>
          <t>H1</t>
        </is>
      </c>
      <c r="B6" s="9" t="inlineStr">
        <is>
          <t>Cierre: el momento genera una reacción relevante del cliente</t>
        </is>
      </c>
      <c r="C6" s="8" t="inlineStr">
        <is>
          <t>No</t>
        </is>
      </c>
      <c r="D6" s="8">
        <f>COUNTIFS(Codificado!$E$7:$AE$7,"S",Codificado!$E$2:$AE$2,"Sí")</f>
        <v/>
      </c>
      <c r="E6" s="8">
        <f>COUNTIFS(Codificado!$E$7:$AE$7,"N",Codificado!$E$2:$AE$2,"Sí")</f>
        <v/>
      </c>
      <c r="F6" s="8">
        <f>COUNTIFS(Codificado!$E$7:$AE$7,"N/A",Codificado!$E$2:$AE$2,"Sí")</f>
        <v/>
      </c>
      <c r="G6" s="8">
        <f>COUNTIFS(Codificado!$E$7:$AE$7,"Nota",Codificado!$E$2:$AE$2,"Sí")</f>
        <v/>
      </c>
      <c r="H6" s="8">
        <f>COUNTIFS(Codificado!$E$7:$AE$7,"Sin registro",Codificado!$E$2:$AE$2,"Sí")</f>
        <v/>
      </c>
      <c r="I6" s="8">
        <f>SUM(D6:H6)</f>
        <v/>
      </c>
      <c r="J6" s="10">
        <f>IFERROR(D6/(D6+E6),"-")</f>
        <v/>
      </c>
      <c r="K6" s="9" t="n"/>
    </row>
    <row r="7">
      <c r="A7" s="8" t="inlineStr">
        <is>
          <t>H2</t>
        </is>
      </c>
      <c r="B7" s="9" t="inlineStr">
        <is>
          <t>Ante preguntas: responde correctamente y de manera completa</t>
        </is>
      </c>
      <c r="C7" s="8" t="inlineStr">
        <is>
          <t>No</t>
        </is>
      </c>
      <c r="D7" s="8">
        <f>COUNTIFS(Codificado!$E$8:$AE$8,"S",Codificado!$E$2:$AE$2,"Sí")</f>
        <v/>
      </c>
      <c r="E7" s="8">
        <f>COUNTIFS(Codificado!$E$8:$AE$8,"N",Codificado!$E$2:$AE$2,"Sí")</f>
        <v/>
      </c>
      <c r="F7" s="8">
        <f>COUNTIFS(Codificado!$E$8:$AE$8,"N/A",Codificado!$E$2:$AE$2,"Sí")</f>
        <v/>
      </c>
      <c r="G7" s="8">
        <f>COUNTIFS(Codificado!$E$8:$AE$8,"Nota",Codificado!$E$2:$AE$2,"Sí")</f>
        <v/>
      </c>
      <c r="H7" s="8">
        <f>COUNTIFS(Codificado!$E$8:$AE$8,"Sin registro",Codificado!$E$2:$AE$2,"Sí")</f>
        <v/>
      </c>
      <c r="I7" s="8">
        <f>SUM(D7:H7)</f>
        <v/>
      </c>
      <c r="J7" s="10">
        <f>IFERROR(D7/(D7+E7),"-")</f>
        <v/>
      </c>
      <c r="K7" s="9" t="n"/>
    </row>
    <row r="8">
      <c r="A8" s="8" t="inlineStr">
        <is>
          <t>H2</t>
        </is>
      </c>
      <c r="B8" s="9" t="inlineStr">
        <is>
          <t>Ante preguntas reiteradas sobre el mismo tema, reformula y adapta su lenguaje</t>
        </is>
      </c>
      <c r="C8" s="8" t="inlineStr">
        <is>
          <t>No</t>
        </is>
      </c>
      <c r="D8" s="8">
        <f>COUNTIFS(Codificado!$E$9:$AE$9,"S",Codificado!$E$2:$AE$2,"Sí")</f>
        <v/>
      </c>
      <c r="E8" s="8">
        <f>COUNTIFS(Codificado!$E$9:$AE$9,"N",Codificado!$E$2:$AE$2,"Sí")</f>
        <v/>
      </c>
      <c r="F8" s="8">
        <f>COUNTIFS(Codificado!$E$9:$AE$9,"N/A",Codificado!$E$2:$AE$2,"Sí")</f>
        <v/>
      </c>
      <c r="G8" s="8">
        <f>COUNTIFS(Codificado!$E$9:$AE$9,"Nota",Codificado!$E$2:$AE$2,"Sí")</f>
        <v/>
      </c>
      <c r="H8" s="8">
        <f>COUNTIFS(Codificado!$E$9:$AE$9,"Sin registro",Codificado!$E$2:$AE$2,"Sí")</f>
        <v/>
      </c>
      <c r="I8" s="8">
        <f>SUM(D8:H8)</f>
        <v/>
      </c>
      <c r="J8" s="10">
        <f>IFERROR(D8/(D8+E8),"-")</f>
        <v/>
      </c>
      <c r="K8" s="9" t="n"/>
    </row>
    <row r="9">
      <c r="A9" s="8" t="inlineStr">
        <is>
          <t>H2</t>
        </is>
      </c>
      <c r="B9" s="9" t="inlineStr">
        <is>
          <t>Explicaciones claras, correctas y completas</t>
        </is>
      </c>
      <c r="C9" s="8" t="inlineStr">
        <is>
          <t>No</t>
        </is>
      </c>
      <c r="D9" s="8">
        <f>COUNTIFS(Codificado!$E$10:$AE$10,"S",Codificado!$E$2:$AE$2,"Sí")</f>
        <v/>
      </c>
      <c r="E9" s="8">
        <f>COUNTIFS(Codificado!$E$10:$AE$10,"N",Codificado!$E$2:$AE$2,"Sí")</f>
        <v/>
      </c>
      <c r="F9" s="8">
        <f>COUNTIFS(Codificado!$E$10:$AE$10,"N/A",Codificado!$E$2:$AE$2,"Sí")</f>
        <v/>
      </c>
      <c r="G9" s="8">
        <f>COUNTIFS(Codificado!$E$10:$AE$10,"Nota",Codificado!$E$2:$AE$2,"Sí")</f>
        <v/>
      </c>
      <c r="H9" s="8">
        <f>COUNTIFS(Codificado!$E$10:$AE$10,"Sin registro",Codificado!$E$2:$AE$2,"Sí")</f>
        <v/>
      </c>
      <c r="I9" s="8">
        <f>SUM(D9:H9)</f>
        <v/>
      </c>
      <c r="J9" s="10">
        <f>IFERROR(D9/(D9+E9),"-")</f>
        <v/>
      </c>
      <c r="K9" s="9" t="n"/>
    </row>
    <row r="10">
      <c r="A10" s="8" t="inlineStr">
        <is>
          <t>H2</t>
        </is>
      </c>
      <c r="B10" s="9" t="inlineStr">
        <is>
          <t>Demuestra empatía y contención</t>
        </is>
      </c>
      <c r="C10" s="8" t="inlineStr">
        <is>
          <t>No</t>
        </is>
      </c>
      <c r="D10" s="8">
        <f>COUNTIFS(Codificado!$E$11:$AE$11,"S",Codificado!$E$2:$AE$2,"Sí")</f>
        <v/>
      </c>
      <c r="E10" s="8">
        <f>COUNTIFS(Codificado!$E$11:$AE$11,"N",Codificado!$E$2:$AE$2,"Sí")</f>
        <v/>
      </c>
      <c r="F10" s="8">
        <f>COUNTIFS(Codificado!$E$11:$AE$11,"N/A",Codificado!$E$2:$AE$2,"Sí")</f>
        <v/>
      </c>
      <c r="G10" s="8">
        <f>COUNTIFS(Codificado!$E$11:$AE$11,"Nota",Codificado!$E$2:$AE$2,"Sí")</f>
        <v/>
      </c>
      <c r="H10" s="8">
        <f>COUNTIFS(Codificado!$E$11:$AE$11,"Sin registro",Codificado!$E$2:$AE$2,"Sí")</f>
        <v/>
      </c>
      <c r="I10" s="8">
        <f>SUM(D10:H10)</f>
        <v/>
      </c>
      <c r="J10" s="10">
        <f>IFERROR(D10/(D10+E10),"-")</f>
        <v/>
      </c>
      <c r="K10" s="9" t="n"/>
    </row>
    <row r="11">
      <c r="A11" s="8" t="inlineStr">
        <is>
          <t>H3</t>
        </is>
      </c>
      <c r="B11" s="9" t="inlineStr">
        <is>
          <t>¿El técnico necesitó reintentar la instalación?</t>
        </is>
      </c>
      <c r="C11" s="8" t="inlineStr">
        <is>
          <t>No</t>
        </is>
      </c>
      <c r="D11" s="8">
        <f>COUNTIFS(Codificado!$E$12:$AE$12,"S",Codificado!$E$2:$AE$2,"Sí")</f>
        <v/>
      </c>
      <c r="E11" s="8">
        <f>COUNTIFS(Codificado!$E$12:$AE$12,"N",Codificado!$E$2:$AE$2,"Sí")</f>
        <v/>
      </c>
      <c r="F11" s="8">
        <f>COUNTIFS(Codificado!$E$12:$AE$12,"N/A",Codificado!$E$2:$AE$2,"Sí")</f>
        <v/>
      </c>
      <c r="G11" s="8">
        <f>COUNTIFS(Codificado!$E$12:$AE$12,"Nota",Codificado!$E$2:$AE$2,"Sí")</f>
        <v/>
      </c>
      <c r="H11" s="8">
        <f>COUNTIFS(Codificado!$E$12:$AE$12,"Sin registro",Codificado!$E$2:$AE$2,"Sí")</f>
        <v/>
      </c>
      <c r="I11" s="8">
        <f>SUM(D11:H11)</f>
        <v/>
      </c>
      <c r="J11" s="10">
        <f>IFERROR(D11/(D11+E11),"-")</f>
        <v/>
      </c>
      <c r="K11" s="9" t="n"/>
    </row>
    <row r="12">
      <c r="A12" s="8" t="inlineStr">
        <is>
          <t>H3</t>
        </is>
      </c>
      <c r="B12" s="9" t="inlineStr">
        <is>
          <t>¿El técnico necesitó pedir soporte técnico durante la visita?</t>
        </is>
      </c>
      <c r="C12" s="8" t="inlineStr">
        <is>
          <t>No</t>
        </is>
      </c>
      <c r="D12" s="8">
        <f>COUNTIFS(Codificado!$E$13:$AE$13,"S",Codificado!$E$2:$AE$2,"Sí")</f>
        <v/>
      </c>
      <c r="E12" s="8">
        <f>COUNTIFS(Codificado!$E$13:$AE$13,"N",Codificado!$E$2:$AE$2,"Sí")</f>
        <v/>
      </c>
      <c r="F12" s="8">
        <f>COUNTIFS(Codificado!$E$13:$AE$13,"N/A",Codificado!$E$2:$AE$2,"Sí")</f>
        <v/>
      </c>
      <c r="G12" s="8">
        <f>COUNTIFS(Codificado!$E$13:$AE$13,"Nota",Codificado!$E$2:$AE$2,"Sí")</f>
        <v/>
      </c>
      <c r="H12" s="8">
        <f>COUNTIFS(Codificado!$E$13:$AE$13,"Sin registro",Codificado!$E$2:$AE$2,"Sí")</f>
        <v/>
      </c>
      <c r="I12" s="8">
        <f>SUM(D12:H12)</f>
        <v/>
      </c>
      <c r="J12" s="10">
        <f>IFERROR(D12/(D12+E12),"-")</f>
        <v/>
      </c>
      <c r="K12" s="9" t="n"/>
    </row>
    <row r="13">
      <c r="A13" s="8" t="inlineStr">
        <is>
          <t>H3</t>
        </is>
      </c>
      <c r="B13" s="9" t="inlineStr">
        <is>
          <t>¿El técnico necesitó gestionar aspectos administrativos durante la visita?</t>
        </is>
      </c>
      <c r="C13" s="8" t="inlineStr">
        <is>
          <t>No</t>
        </is>
      </c>
      <c r="D13" s="8">
        <f>COUNTIFS(Codificado!$E$14:$AE$14,"S",Codificado!$E$2:$AE$2,"Sí")</f>
        <v/>
      </c>
      <c r="E13" s="8">
        <f>COUNTIFS(Codificado!$E$14:$AE$14,"N",Codificado!$E$2:$AE$2,"Sí")</f>
        <v/>
      </c>
      <c r="F13" s="8">
        <f>COUNTIFS(Codificado!$E$14:$AE$14,"N/A",Codificado!$E$2:$AE$2,"Sí")</f>
        <v/>
      </c>
      <c r="G13" s="8">
        <f>COUNTIFS(Codificado!$E$14:$AE$14,"Nota",Codificado!$E$2:$AE$2,"Sí")</f>
        <v/>
      </c>
      <c r="H13" s="8">
        <f>COUNTIFS(Codificado!$E$14:$AE$14,"Sin registro",Codificado!$E$2:$AE$2,"Sí")</f>
        <v/>
      </c>
      <c r="I13" s="8">
        <f>SUM(D13:H13)</f>
        <v/>
      </c>
      <c r="J13" s="10">
        <f>IFERROR(D13/(D13+E13),"-")</f>
        <v/>
      </c>
      <c r="K13" s="9" t="n"/>
    </row>
    <row r="14">
      <c r="A14" s="8" t="inlineStr">
        <is>
          <t>H3</t>
        </is>
      </c>
      <c r="B14" s="9" t="inlineStr">
        <is>
          <t>¿El cliente reclama el reemplazo de decos no declarados?</t>
        </is>
      </c>
      <c r="C14" s="8" t="inlineStr">
        <is>
          <t>No</t>
        </is>
      </c>
      <c r="D14" s="8">
        <f>COUNTIFS(Codificado!$E$15:$AE$15,"S",Codificado!$E$2:$AE$2,"Sí")</f>
        <v/>
      </c>
      <c r="E14" s="8">
        <f>COUNTIFS(Codificado!$E$15:$AE$15,"N",Codificado!$E$2:$AE$2,"Sí")</f>
        <v/>
      </c>
      <c r="F14" s="8">
        <f>COUNTIFS(Codificado!$E$15:$AE$15,"N/A",Codificado!$E$2:$AE$2,"Sí")</f>
        <v/>
      </c>
      <c r="G14" s="8">
        <f>COUNTIFS(Codificado!$E$15:$AE$15,"Nota",Codificado!$E$2:$AE$2,"Sí")</f>
        <v/>
      </c>
      <c r="H14" s="8">
        <f>COUNTIFS(Codificado!$E$15:$AE$15,"Sin registro",Codificado!$E$2:$AE$2,"Sí")</f>
        <v/>
      </c>
      <c r="I14" s="8">
        <f>SUM(D14:H14)</f>
        <v/>
      </c>
      <c r="J14" s="10">
        <f>IFERROR(D14/(D14+E14),"-")</f>
        <v/>
      </c>
      <c r="K14" s="9" t="n"/>
    </row>
    <row r="15">
      <c r="A15" s="8" t="inlineStr">
        <is>
          <t>H3</t>
        </is>
      </c>
      <c r="B15" s="9" t="inlineStr">
        <is>
          <t>¿El dispositivo se reconoce inmediatamente?</t>
        </is>
      </c>
      <c r="C15" s="8" t="inlineStr">
        <is>
          <t>No</t>
        </is>
      </c>
      <c r="D15" s="8">
        <f>COUNTIFS(Codificado!$E$16:$AE$16,"S",Codificado!$E$2:$AE$2,"Sí")</f>
        <v/>
      </c>
      <c r="E15" s="8">
        <f>COUNTIFS(Codificado!$E$16:$AE$16,"N",Codificado!$E$2:$AE$2,"Sí")</f>
        <v/>
      </c>
      <c r="F15" s="8">
        <f>COUNTIFS(Codificado!$E$16:$AE$16,"N/A",Codificado!$E$2:$AE$2,"Sí")</f>
        <v/>
      </c>
      <c r="G15" s="8">
        <f>COUNTIFS(Codificado!$E$16:$AE$16,"Nota",Codificado!$E$2:$AE$2,"Sí")</f>
        <v/>
      </c>
      <c r="H15" s="8">
        <f>COUNTIFS(Codificado!$E$16:$AE$16,"Sin registro",Codificado!$E$2:$AE$2,"Sí")</f>
        <v/>
      </c>
      <c r="I15" s="8">
        <f>SUM(D15:H15)</f>
        <v/>
      </c>
      <c r="J15" s="10">
        <f>IFERROR(D15/(D15+E15),"-")</f>
        <v/>
      </c>
      <c r="K15" s="9" t="n"/>
    </row>
    <row r="16">
      <c r="A16" s="8" t="inlineStr">
        <is>
          <t>H3</t>
        </is>
      </c>
      <c r="B16" s="9" t="inlineStr">
        <is>
          <t>Llevarse los equipos viejos y firmar consentimiento</t>
        </is>
      </c>
      <c r="C16" s="8" t="inlineStr">
        <is>
          <t>No</t>
        </is>
      </c>
      <c r="D16" s="8">
        <f>COUNTIFS(Codificado!$E$17:$AE$17,"S",Codificado!$E$2:$AE$2,"Sí")</f>
        <v/>
      </c>
      <c r="E16" s="8">
        <f>COUNTIFS(Codificado!$E$17:$AE$17,"N",Codificado!$E$2:$AE$2,"Sí")</f>
        <v/>
      </c>
      <c r="F16" s="8">
        <f>COUNTIFS(Codificado!$E$17:$AE$17,"N/A",Codificado!$E$2:$AE$2,"Sí")</f>
        <v/>
      </c>
      <c r="G16" s="8">
        <f>COUNTIFS(Codificado!$E$17:$AE$17,"Nota",Codificado!$E$2:$AE$2,"Sí")</f>
        <v/>
      </c>
      <c r="H16" s="8">
        <f>COUNTIFS(Codificado!$E$17:$AE$17,"Sin registro",Codificado!$E$2:$AE$2,"Sí")</f>
        <v/>
      </c>
      <c r="I16" s="8">
        <f>SUM(D16:H16)</f>
        <v/>
      </c>
      <c r="J16" s="10">
        <f>IFERROR(D16/(D16+E16),"-")</f>
        <v/>
      </c>
      <c r="K16" s="9" t="n"/>
    </row>
    <row r="17">
      <c r="A17" s="8" t="inlineStr">
        <is>
          <t>H3</t>
        </is>
      </c>
      <c r="B17" s="9" t="inlineStr">
        <is>
          <t>Confirmar que el perfil del cliente quede activo</t>
        </is>
      </c>
      <c r="C17" s="8" t="inlineStr">
        <is>
          <t>No</t>
        </is>
      </c>
      <c r="D17" s="8">
        <f>COUNTIFS(Codificado!$E$18:$AE$18,"S",Codificado!$E$2:$AE$2,"Sí")</f>
        <v/>
      </c>
      <c r="E17" s="8">
        <f>COUNTIFS(Codificado!$E$18:$AE$18,"N",Codificado!$E$2:$AE$2,"Sí")</f>
        <v/>
      </c>
      <c r="F17" s="8">
        <f>COUNTIFS(Codificado!$E$18:$AE$18,"N/A",Codificado!$E$2:$AE$2,"Sí")</f>
        <v/>
      </c>
      <c r="G17" s="8">
        <f>COUNTIFS(Codificado!$E$18:$AE$18,"Nota",Codificado!$E$2:$AE$2,"Sí")</f>
        <v/>
      </c>
      <c r="H17" s="8">
        <f>COUNTIFS(Codificado!$E$18:$AE$18,"Sin registro",Codificado!$E$2:$AE$2,"Sí")</f>
        <v/>
      </c>
      <c r="I17" s="8">
        <f>SUM(D17:H17)</f>
        <v/>
      </c>
      <c r="J17" s="10">
        <f>IFERROR(D17/(D17+E17),"-")</f>
        <v/>
      </c>
      <c r="K17" s="9" t="n"/>
    </row>
    <row r="18">
      <c r="A18" s="8" t="inlineStr">
        <is>
          <t>H3</t>
        </is>
      </c>
      <c r="B18" s="9" t="inlineStr">
        <is>
          <t>Conciliación de los nuevos decos</t>
        </is>
      </c>
      <c r="C18" s="8" t="inlineStr">
        <is>
          <t>No</t>
        </is>
      </c>
      <c r="D18" s="8">
        <f>COUNTIFS(Codificado!$E$19:$AE$19,"S",Codificado!$E$2:$AE$2,"Sí")</f>
        <v/>
      </c>
      <c r="E18" s="8">
        <f>COUNTIFS(Codificado!$E$19:$AE$19,"N",Codificado!$E$2:$AE$2,"Sí")</f>
        <v/>
      </c>
      <c r="F18" s="8">
        <f>COUNTIFS(Codificado!$E$19:$AE$19,"N/A",Codificado!$E$2:$AE$2,"Sí")</f>
        <v/>
      </c>
      <c r="G18" s="8">
        <f>COUNTIFS(Codificado!$E$19:$AE$19,"Nota",Codificado!$E$2:$AE$2,"Sí")</f>
        <v/>
      </c>
      <c r="H18" s="8">
        <f>COUNTIFS(Codificado!$E$19:$AE$19,"Sin registro",Codificado!$E$2:$AE$2,"Sí")</f>
        <v/>
      </c>
      <c r="I18" s="8">
        <f>SUM(D18:H18)</f>
        <v/>
      </c>
      <c r="J18" s="10">
        <f>IFERROR(D18/(D18+E18),"-")</f>
        <v/>
      </c>
      <c r="K18" s="9" t="n"/>
    </row>
    <row r="19">
      <c r="A19" s="8" t="inlineStr">
        <is>
          <t>H4</t>
        </is>
      </c>
      <c r="B19" s="15" t="inlineStr">
        <is>
          <t>Las suscripciones previamente contratadas se mantienen activas</t>
        </is>
      </c>
      <c r="C19" s="16" t="inlineStr">
        <is>
          <t>Sí</t>
        </is>
      </c>
      <c r="D19" s="8">
        <f>COUNTIFS(Codificado!$E$20:$AE$20,"S",Codificado!$E$2:$AE$2,"Sí")</f>
        <v/>
      </c>
      <c r="E19" s="8">
        <f>COUNTIFS(Codificado!$E$20:$AE$20,"N",Codificado!$E$2:$AE$2,"Sí")</f>
        <v/>
      </c>
      <c r="F19" s="8">
        <f>COUNTIFS(Codificado!$E$20:$AE$20,"N/A",Codificado!$E$2:$AE$2,"Sí")</f>
        <v/>
      </c>
      <c r="G19" s="8">
        <f>COUNTIFS(Codificado!$E$20:$AE$20,"Nota",Codificado!$E$2:$AE$2,"Sí")</f>
        <v/>
      </c>
      <c r="H19" s="8">
        <f>COUNTIFS(Codificado!$E$20:$AE$20,"Sin registro",Codificado!$E$2:$AE$2,"Sí")</f>
        <v/>
      </c>
      <c r="I19" s="8">
        <f>SUM(D19:H19)</f>
        <v/>
      </c>
      <c r="J19" s="10">
        <f>IFERROR(D19/(D19+E19),"-")</f>
        <v/>
      </c>
      <c r="K19" s="15" t="inlineStr">
        <is>
          <t>No usar % S/N: leer notas</t>
        </is>
      </c>
    </row>
    <row r="20">
      <c r="A20" s="8" t="inlineStr">
        <is>
          <t>H4</t>
        </is>
      </c>
      <c r="B20" s="9" t="inlineStr">
        <is>
          <t>Acceder a las suscripciones previamente contratadas implica un esfuerzo del cliente</t>
        </is>
      </c>
      <c r="C20" s="8" t="inlineStr">
        <is>
          <t>No</t>
        </is>
      </c>
      <c r="D20" s="8">
        <f>COUNTIFS(Codificado!$E$21:$AE$21,"S",Codificado!$E$2:$AE$2,"Sí")</f>
        <v/>
      </c>
      <c r="E20" s="8">
        <f>COUNTIFS(Codificado!$E$21:$AE$21,"N",Codificado!$E$2:$AE$2,"Sí")</f>
        <v/>
      </c>
      <c r="F20" s="8">
        <f>COUNTIFS(Codificado!$E$21:$AE$21,"N/A",Codificado!$E$2:$AE$2,"Sí")</f>
        <v/>
      </c>
      <c r="G20" s="8">
        <f>COUNTIFS(Codificado!$E$21:$AE$21,"Nota",Codificado!$E$2:$AE$2,"Sí")</f>
        <v/>
      </c>
      <c r="H20" s="8">
        <f>COUNTIFS(Codificado!$E$21:$AE$21,"Sin registro",Codificado!$E$2:$AE$2,"Sí")</f>
        <v/>
      </c>
      <c r="I20" s="8">
        <f>SUM(D20:H20)</f>
        <v/>
      </c>
      <c r="J20" s="10">
        <f>IFERROR(D20/(D20+E20),"-")</f>
        <v/>
      </c>
      <c r="K20" s="9" t="n"/>
    </row>
    <row r="21">
      <c r="A21" s="8" t="inlineStr">
        <is>
          <t>H4</t>
        </is>
      </c>
      <c r="B21" s="15" t="inlineStr">
        <is>
          <t>Las credenciales de las suscripciones se cargan automáticamente o el usuario las recuerda sin expresar disgusto</t>
        </is>
      </c>
      <c r="C21" s="16" t="inlineStr">
        <is>
          <t>Sí</t>
        </is>
      </c>
      <c r="D21" s="8">
        <f>COUNTIFS(Codificado!$E$22:$AE$22,"S",Codificado!$E$2:$AE$2,"Sí")</f>
        <v/>
      </c>
      <c r="E21" s="8">
        <f>COUNTIFS(Codificado!$E$22:$AE$22,"N",Codificado!$E$2:$AE$2,"Sí")</f>
        <v/>
      </c>
      <c r="F21" s="8">
        <f>COUNTIFS(Codificado!$E$22:$AE$22,"N/A",Codificado!$E$2:$AE$2,"Sí")</f>
        <v/>
      </c>
      <c r="G21" s="8">
        <f>COUNTIFS(Codificado!$E$22:$AE$22,"Nota",Codificado!$E$2:$AE$2,"Sí")</f>
        <v/>
      </c>
      <c r="H21" s="8">
        <f>COUNTIFS(Codificado!$E$22:$AE$22,"Sin registro",Codificado!$E$2:$AE$2,"Sí")</f>
        <v/>
      </c>
      <c r="I21" s="8">
        <f>SUM(D21:H21)</f>
        <v/>
      </c>
      <c r="J21" s="10">
        <f>IFERROR(D21/(D21+E21),"-")</f>
        <v/>
      </c>
      <c r="K21" s="15" t="inlineStr">
        <is>
          <t>No usar % S/N: leer notas</t>
        </is>
      </c>
    </row>
    <row r="22">
      <c r="A22" s="8" t="inlineStr">
        <is>
          <t>H4</t>
        </is>
      </c>
      <c r="B22" s="9" t="inlineStr">
        <is>
          <t>Las apps de terceros (Netflix/YouTube) se mantienen logueadas</t>
        </is>
      </c>
      <c r="C22" s="8" t="inlineStr">
        <is>
          <t>No</t>
        </is>
      </c>
      <c r="D22" s="8">
        <f>COUNTIFS(Codificado!$E$23:$AE$23,"S",Codificado!$E$2:$AE$2,"Sí")</f>
        <v/>
      </c>
      <c r="E22" s="8">
        <f>COUNTIFS(Codificado!$E$23:$AE$23,"N",Codificado!$E$2:$AE$2,"Sí")</f>
        <v/>
      </c>
      <c r="F22" s="8">
        <f>COUNTIFS(Codificado!$E$23:$AE$23,"N/A",Codificado!$E$2:$AE$2,"Sí")</f>
        <v/>
      </c>
      <c r="G22" s="8">
        <f>COUNTIFS(Codificado!$E$23:$AE$23,"Nota",Codificado!$E$2:$AE$2,"Sí")</f>
        <v/>
      </c>
      <c r="H22" s="8">
        <f>COUNTIFS(Codificado!$E$23:$AE$23,"Sin registro",Codificado!$E$2:$AE$2,"Sí")</f>
        <v/>
      </c>
      <c r="I22" s="8">
        <f>SUM(D22:H22)</f>
        <v/>
      </c>
      <c r="J22" s="10">
        <f>IFERROR(D22/(D22+E22),"-")</f>
        <v/>
      </c>
      <c r="K22" s="9" t="n"/>
    </row>
    <row r="23">
      <c r="A23" s="8" t="inlineStr">
        <is>
          <t>H5</t>
        </is>
      </c>
      <c r="B23" s="9" t="inlineStr">
        <is>
          <t>Dudas que generan más tiempo de visita</t>
        </is>
      </c>
      <c r="C23" s="8" t="inlineStr">
        <is>
          <t>No</t>
        </is>
      </c>
      <c r="D23" s="8">
        <f>COUNTIFS(Codificado!$E$24:$AE$24,"S",Codificado!$E$2:$AE$2,"Sí")</f>
        <v/>
      </c>
      <c r="E23" s="8">
        <f>COUNTIFS(Codificado!$E$24:$AE$24,"N",Codificado!$E$2:$AE$2,"Sí")</f>
        <v/>
      </c>
      <c r="F23" s="8">
        <f>COUNTIFS(Codificado!$E$24:$AE$24,"N/A",Codificado!$E$2:$AE$2,"Sí")</f>
        <v/>
      </c>
      <c r="G23" s="8">
        <f>COUNTIFS(Codificado!$E$24:$AE$24,"Nota",Codificado!$E$2:$AE$2,"Sí")</f>
        <v/>
      </c>
      <c r="H23" s="8">
        <f>COUNTIFS(Codificado!$E$24:$AE$24,"Sin registro",Codificado!$E$2:$AE$2,"Sí")</f>
        <v/>
      </c>
      <c r="I23" s="8">
        <f>SUM(D23:H23)</f>
        <v/>
      </c>
      <c r="J23" s="10">
        <f>IFERROR(D23/(D23+E23),"-")</f>
        <v/>
      </c>
      <c r="K23" s="9" t="n"/>
    </row>
    <row r="24">
      <c r="A24" s="8" t="inlineStr">
        <is>
          <t>H5</t>
        </is>
      </c>
      <c r="B24" s="9" t="inlineStr">
        <is>
          <t>El cliente consulta sobre aspectos administrativos (costo, beneficio, titularidad)</t>
        </is>
      </c>
      <c r="C24" s="8" t="inlineStr">
        <is>
          <t>No</t>
        </is>
      </c>
      <c r="D24" s="8">
        <f>COUNTIFS(Codificado!$E$25:$AE$25,"S",Codificado!$E$2:$AE$2,"Sí")</f>
        <v/>
      </c>
      <c r="E24" s="8">
        <f>COUNTIFS(Codificado!$E$25:$AE$25,"N",Codificado!$E$2:$AE$2,"Sí")</f>
        <v/>
      </c>
      <c r="F24" s="8">
        <f>COUNTIFS(Codificado!$E$25:$AE$25,"N/A",Codificado!$E$2:$AE$2,"Sí")</f>
        <v/>
      </c>
      <c r="G24" s="8">
        <f>COUNTIFS(Codificado!$E$25:$AE$25,"Nota",Codificado!$E$2:$AE$2,"Sí")</f>
        <v/>
      </c>
      <c r="H24" s="8">
        <f>COUNTIFS(Codificado!$E$25:$AE$25,"Sin registro",Codificado!$E$2:$AE$2,"Sí")</f>
        <v/>
      </c>
      <c r="I24" s="8">
        <f>SUM(D24:H24)</f>
        <v/>
      </c>
      <c r="J24" s="10">
        <f>IFERROR(D24/(D24+E24),"-")</f>
        <v/>
      </c>
      <c r="K24" s="9" t="n"/>
    </row>
    <row r="25">
      <c r="A25" s="8" t="inlineStr">
        <is>
          <t>H5</t>
        </is>
      </c>
      <c r="B25" s="9" t="inlineStr">
        <is>
          <t>El cliente consulta sobre aspectos operativos (carga o baja de una suscripción)</t>
        </is>
      </c>
      <c r="C25" s="8" t="inlineStr">
        <is>
          <t>No</t>
        </is>
      </c>
      <c r="D25" s="8">
        <f>COUNTIFS(Codificado!$E$26:$AE$26,"S",Codificado!$E$2:$AE$2,"Sí")</f>
        <v/>
      </c>
      <c r="E25" s="8">
        <f>COUNTIFS(Codificado!$E$26:$AE$26,"N",Codificado!$E$2:$AE$2,"Sí")</f>
        <v/>
      </c>
      <c r="F25" s="8">
        <f>COUNTIFS(Codificado!$E$26:$AE$26,"N/A",Codificado!$E$2:$AE$2,"Sí")</f>
        <v/>
      </c>
      <c r="G25" s="8">
        <f>COUNTIFS(Codificado!$E$26:$AE$26,"Nota",Codificado!$E$2:$AE$2,"Sí")</f>
        <v/>
      </c>
      <c r="H25" s="8">
        <f>COUNTIFS(Codificado!$E$26:$AE$26,"Sin registro",Codificado!$E$2:$AE$2,"Sí")</f>
        <v/>
      </c>
      <c r="I25" s="8">
        <f>SUM(D25:H25)</f>
        <v/>
      </c>
      <c r="J25" s="10">
        <f>IFERROR(D25/(D25+E25),"-")</f>
        <v/>
      </c>
      <c r="K25" s="9" t="n"/>
    </row>
    <row r="26">
      <c r="A26" s="8" t="inlineStr">
        <is>
          <t>H5</t>
        </is>
      </c>
      <c r="B26" s="15" t="inlineStr">
        <is>
          <t>El cliente consulta sobre aspectos de uso (otra TV, control remoto, funciones de voz)</t>
        </is>
      </c>
      <c r="C26" s="16" t="inlineStr">
        <is>
          <t>Sí</t>
        </is>
      </c>
      <c r="D26" s="8">
        <f>COUNTIFS(Codificado!$E$27:$AE$27,"S",Codificado!$E$2:$AE$2,"Sí")</f>
        <v/>
      </c>
      <c r="E26" s="8">
        <f>COUNTIFS(Codificado!$E$27:$AE$27,"N",Codificado!$E$2:$AE$2,"Sí")</f>
        <v/>
      </c>
      <c r="F26" s="8">
        <f>COUNTIFS(Codificado!$E$27:$AE$27,"N/A",Codificado!$E$2:$AE$2,"Sí")</f>
        <v/>
      </c>
      <c r="G26" s="8">
        <f>COUNTIFS(Codificado!$E$27:$AE$27,"Nota",Codificado!$E$2:$AE$2,"Sí")</f>
        <v/>
      </c>
      <c r="H26" s="8">
        <f>COUNTIFS(Codificado!$E$27:$AE$27,"Sin registro",Codificado!$E$2:$AE$2,"Sí")</f>
        <v/>
      </c>
      <c r="I26" s="8">
        <f>SUM(D26:H26)</f>
        <v/>
      </c>
      <c r="J26" s="10">
        <f>IFERROR(D26/(D26+E26),"-")</f>
        <v/>
      </c>
      <c r="K26" s="15" t="inlineStr">
        <is>
          <t>No usar % S/N: leer notas</t>
        </is>
      </c>
    </row>
    <row r="27">
      <c r="A27" s="8" t="inlineStr">
        <is>
          <t>H5</t>
        </is>
      </c>
      <c r="B27" s="9" t="inlineStr">
        <is>
          <t>El cliente consulta sobre otros temas ajenos a la gestión (facturación, débito, otra avería)</t>
        </is>
      </c>
      <c r="C27" s="8" t="inlineStr">
        <is>
          <t>No</t>
        </is>
      </c>
      <c r="D27" s="8">
        <f>COUNTIFS(Codificado!$E$28:$AE$28,"S",Codificado!$E$2:$AE$2,"Sí")</f>
        <v/>
      </c>
      <c r="E27" s="8">
        <f>COUNTIFS(Codificado!$E$28:$AE$28,"N",Codificado!$E$2:$AE$2,"Sí")</f>
        <v/>
      </c>
      <c r="F27" s="8">
        <f>COUNTIFS(Codificado!$E$28:$AE$28,"N/A",Codificado!$E$2:$AE$2,"Sí")</f>
        <v/>
      </c>
      <c r="G27" s="8">
        <f>COUNTIFS(Codificado!$E$28:$AE$28,"Nota",Codificado!$E$2:$AE$2,"Sí")</f>
        <v/>
      </c>
      <c r="H27" s="8">
        <f>COUNTIFS(Codificado!$E$28:$AE$28,"Sin registro",Codificado!$E$2:$AE$2,"Sí")</f>
        <v/>
      </c>
      <c r="I27" s="8">
        <f>SUM(D27:H27)</f>
        <v/>
      </c>
      <c r="J27" s="10">
        <f>IFERROR(D27/(D27+E27),"-")</f>
        <v/>
      </c>
      <c r="K27" s="9" t="n"/>
    </row>
    <row r="28">
      <c r="A28" s="8" t="inlineStr">
        <is>
          <t>H5</t>
        </is>
      </c>
      <c r="B28" s="9" t="inlineStr">
        <is>
          <t>El cliente reclama comunicación / información previa</t>
        </is>
      </c>
      <c r="C28" s="8" t="inlineStr">
        <is>
          <t>No</t>
        </is>
      </c>
      <c r="D28" s="8">
        <f>COUNTIFS(Codificado!$E$29:$AE$29,"S",Codificado!$E$2:$AE$2,"Sí")</f>
        <v/>
      </c>
      <c r="E28" s="8">
        <f>COUNTIFS(Codificado!$E$29:$AE$29,"N",Codificado!$E$2:$AE$2,"Sí")</f>
        <v/>
      </c>
      <c r="F28" s="8">
        <f>COUNTIFS(Codificado!$E$29:$AE$29,"N/A",Codificado!$E$2:$AE$2,"Sí")</f>
        <v/>
      </c>
      <c r="G28" s="8">
        <f>COUNTIFS(Codificado!$E$29:$AE$29,"Nota",Codificado!$E$2:$AE$2,"Sí")</f>
        <v/>
      </c>
      <c r="H28" s="8">
        <f>COUNTIFS(Codificado!$E$29:$AE$29,"Sin registro",Codificado!$E$2:$AE$2,"Sí")</f>
        <v/>
      </c>
      <c r="I28" s="8">
        <f>SUM(D28:H28)</f>
        <v/>
      </c>
      <c r="J28" s="10">
        <f>IFERROR(D28/(D28+E28),"-")</f>
        <v/>
      </c>
      <c r="K28" s="9" t="n"/>
    </row>
    <row r="29">
      <c r="A29" s="8" t="inlineStr">
        <is>
          <t>H6</t>
        </is>
      </c>
      <c r="B29" s="15" t="inlineStr">
        <is>
          <t>El cliente expresa haber recibido comunicación previa</t>
        </is>
      </c>
      <c r="C29" s="16" t="inlineStr">
        <is>
          <t>Sí</t>
        </is>
      </c>
      <c r="D29" s="8">
        <f>COUNTIFS(Codificado!$E$30:$AE$30,"S",Codificado!$E$2:$AE$2,"Sí")</f>
        <v/>
      </c>
      <c r="E29" s="8">
        <f>COUNTIFS(Codificado!$E$30:$AE$30,"N",Codificado!$E$2:$AE$2,"Sí")</f>
        <v/>
      </c>
      <c r="F29" s="8">
        <f>COUNTIFS(Codificado!$E$30:$AE$30,"N/A",Codificado!$E$2:$AE$2,"Sí")</f>
        <v/>
      </c>
      <c r="G29" s="8">
        <f>COUNTIFS(Codificado!$E$30:$AE$30,"Nota",Codificado!$E$2:$AE$2,"Sí")</f>
        <v/>
      </c>
      <c r="H29" s="8">
        <f>COUNTIFS(Codificado!$E$30:$AE$30,"Sin registro",Codificado!$E$2:$AE$2,"Sí")</f>
        <v/>
      </c>
      <c r="I29" s="8">
        <f>SUM(D29:H29)</f>
        <v/>
      </c>
      <c r="J29" s="10">
        <f>IFERROR(D29/(D29+E29),"-")</f>
        <v/>
      </c>
      <c r="K29" s="15" t="inlineStr">
        <is>
          <t>No usar % S/N: leer notas</t>
        </is>
      </c>
    </row>
    <row r="30">
      <c r="A30" s="8" t="inlineStr">
        <is>
          <t>H6</t>
        </is>
      </c>
      <c r="B30" s="15" t="inlineStr">
        <is>
          <t>El cliente entiende el motivo por el que se realiza el cambio</t>
        </is>
      </c>
      <c r="C30" s="16" t="inlineStr">
        <is>
          <t>Sí</t>
        </is>
      </c>
      <c r="D30" s="8">
        <f>COUNTIFS(Codificado!$E$31:$AE$31,"S",Codificado!$E$2:$AE$2,"Sí")</f>
        <v/>
      </c>
      <c r="E30" s="8">
        <f>COUNTIFS(Codificado!$E$31:$AE$31,"N",Codificado!$E$2:$AE$2,"Sí")</f>
        <v/>
      </c>
      <c r="F30" s="8">
        <f>COUNTIFS(Codificado!$E$31:$AE$31,"N/A",Codificado!$E$2:$AE$2,"Sí")</f>
        <v/>
      </c>
      <c r="G30" s="8">
        <f>COUNTIFS(Codificado!$E$31:$AE$31,"Nota",Codificado!$E$2:$AE$2,"Sí")</f>
        <v/>
      </c>
      <c r="H30" s="8">
        <f>COUNTIFS(Codificado!$E$31:$AE$31,"Sin registro",Codificado!$E$2:$AE$2,"Sí")</f>
        <v/>
      </c>
      <c r="I30" s="8">
        <f>SUM(D30:H30)</f>
        <v/>
      </c>
      <c r="J30" s="10">
        <f>IFERROR(D30/(D30+E30),"-")</f>
        <v/>
      </c>
      <c r="K30" s="15" t="inlineStr">
        <is>
          <t>No usar % S/N: leer notas</t>
        </is>
      </c>
    </row>
    <row r="31">
      <c r="A31" s="8" t="inlineStr">
        <is>
          <t>H6</t>
        </is>
      </c>
      <c r="B31" s="9" t="inlineStr">
        <is>
          <t>El cliente asume que el cambio tiene otro alcance (deco + control o solo deco)</t>
        </is>
      </c>
      <c r="C31" s="8" t="inlineStr">
        <is>
          <t>No</t>
        </is>
      </c>
      <c r="D31" s="8">
        <f>COUNTIFS(Codificado!$E$32:$AE$32,"S",Codificado!$E$2:$AE$2,"Sí")</f>
        <v/>
      </c>
      <c r="E31" s="8">
        <f>COUNTIFS(Codificado!$E$32:$AE$32,"N",Codificado!$E$2:$AE$2,"Sí")</f>
        <v/>
      </c>
      <c r="F31" s="8">
        <f>COUNTIFS(Codificado!$E$32:$AE$32,"N/A",Codificado!$E$2:$AE$2,"Sí")</f>
        <v/>
      </c>
      <c r="G31" s="8">
        <f>COUNTIFS(Codificado!$E$32:$AE$32,"Nota",Codificado!$E$2:$AE$2,"Sí")</f>
        <v/>
      </c>
      <c r="H31" s="8">
        <f>COUNTIFS(Codificado!$E$32:$AE$32,"Sin registro",Codificado!$E$2:$AE$2,"Sí")</f>
        <v/>
      </c>
      <c r="I31" s="8">
        <f>SUM(D31:H31)</f>
        <v/>
      </c>
      <c r="J31" s="10">
        <f>IFERROR(D31/(D31+E31),"-")</f>
        <v/>
      </c>
      <c r="K31" s="9" t="n"/>
    </row>
    <row r="32">
      <c r="A32" s="8" t="inlineStr">
        <is>
          <t>H7</t>
        </is>
      </c>
      <c r="B32" s="9" t="inlineStr">
        <is>
          <t>Tareas que generan más errores</t>
        </is>
      </c>
      <c r="C32" s="8" t="inlineStr">
        <is>
          <t>No</t>
        </is>
      </c>
      <c r="D32" s="8">
        <f>COUNTIFS(Codificado!$E$33:$AE$33,"S",Codificado!$E$2:$AE$2,"Sí")</f>
        <v/>
      </c>
      <c r="E32" s="8">
        <f>COUNTIFS(Codificado!$E$33:$AE$33,"N",Codificado!$E$2:$AE$2,"Sí")</f>
        <v/>
      </c>
      <c r="F32" s="8">
        <f>COUNTIFS(Codificado!$E$33:$AE$33,"N/A",Codificado!$E$2:$AE$2,"Sí")</f>
        <v/>
      </c>
      <c r="G32" s="8">
        <f>COUNTIFS(Codificado!$E$33:$AE$33,"Nota",Codificado!$E$2:$AE$2,"Sí")</f>
        <v/>
      </c>
      <c r="H32" s="8">
        <f>COUNTIFS(Codificado!$E$33:$AE$33,"Sin registro",Codificado!$E$2:$AE$2,"Sí")</f>
        <v/>
      </c>
      <c r="I32" s="8">
        <f>SUM(D32:H32)</f>
        <v/>
      </c>
      <c r="J32" s="10">
        <f>IFERROR(D32/(D32+E32),"-")</f>
        <v/>
      </c>
      <c r="K32" s="9" t="n"/>
    </row>
    <row r="33">
      <c r="A33" s="8" t="inlineStr">
        <is>
          <t>H7</t>
        </is>
      </c>
      <c r="B33" s="9" t="inlineStr">
        <is>
          <t>Botones más confusos</t>
        </is>
      </c>
      <c r="C33" s="8" t="inlineStr">
        <is>
          <t>No</t>
        </is>
      </c>
      <c r="D33" s="8">
        <f>COUNTIFS(Codificado!$E$34:$AE$34,"S",Codificado!$E$2:$AE$2,"Sí")</f>
        <v/>
      </c>
      <c r="E33" s="8">
        <f>COUNTIFS(Codificado!$E$34:$AE$34,"N",Codificado!$E$2:$AE$2,"Sí")</f>
        <v/>
      </c>
      <c r="F33" s="8">
        <f>COUNTIFS(Codificado!$E$34:$AE$34,"N/A",Codificado!$E$2:$AE$2,"Sí")</f>
        <v/>
      </c>
      <c r="G33" s="8">
        <f>COUNTIFS(Codificado!$E$34:$AE$34,"Nota",Codificado!$E$2:$AE$2,"Sí")</f>
        <v/>
      </c>
      <c r="H33" s="8">
        <f>COUNTIFS(Codificado!$E$34:$AE$34,"Sin registro",Codificado!$E$2:$AE$2,"Sí")</f>
        <v/>
      </c>
      <c r="I33" s="8">
        <f>SUM(D33:H33)</f>
        <v/>
      </c>
      <c r="J33" s="10">
        <f>IFERROR(D33/(D33+E33),"-")</f>
        <v/>
      </c>
      <c r="K33" s="9" t="n"/>
    </row>
    <row r="34">
      <c r="A34" s="8" t="inlineStr">
        <is>
          <t>H7</t>
        </is>
      </c>
      <c r="B34" s="9" t="inlineStr">
        <is>
          <t>Cantidad de asistencias necesarias</t>
        </is>
      </c>
      <c r="C34" s="8" t="inlineStr">
        <is>
          <t>No</t>
        </is>
      </c>
      <c r="D34" s="8">
        <f>COUNTIFS(Codificado!$E$35:$AE$35,"S",Codificado!$E$2:$AE$2,"Sí")</f>
        <v/>
      </c>
      <c r="E34" s="8">
        <f>COUNTIFS(Codificado!$E$35:$AE$35,"N",Codificado!$E$2:$AE$2,"Sí")</f>
        <v/>
      </c>
      <c r="F34" s="8">
        <f>COUNTIFS(Codificado!$E$35:$AE$35,"N/A",Codificado!$E$2:$AE$2,"Sí")</f>
        <v/>
      </c>
      <c r="G34" s="8">
        <f>COUNTIFS(Codificado!$E$35:$AE$35,"Nota",Codificado!$E$2:$AE$2,"Sí")</f>
        <v/>
      </c>
      <c r="H34" s="8">
        <f>COUNTIFS(Codificado!$E$35:$AE$35,"Sin registro",Codificado!$E$2:$AE$2,"Sí")</f>
        <v/>
      </c>
      <c r="I34" s="8">
        <f>SUM(D34:H34)</f>
        <v/>
      </c>
      <c r="J34" s="10">
        <f>IFERROR(D34/(D34+E34),"-")</f>
        <v/>
      </c>
      <c r="K34" s="9" t="n"/>
    </row>
    <row r="35">
      <c r="A35" s="8" t="inlineStr">
        <is>
          <t>H7</t>
        </is>
      </c>
      <c r="B35" s="15" t="inlineStr">
        <is>
          <t>El cliente reconoce las funcionalidades del control remoto</t>
        </is>
      </c>
      <c r="C35" s="16" t="inlineStr">
        <is>
          <t>Sí</t>
        </is>
      </c>
      <c r="D35" s="8">
        <f>COUNTIFS(Codificado!$E$36:$AE$36,"S",Codificado!$E$2:$AE$2,"Sí")</f>
        <v/>
      </c>
      <c r="E35" s="8">
        <f>COUNTIFS(Codificado!$E$36:$AE$36,"N",Codificado!$E$2:$AE$2,"Sí")</f>
        <v/>
      </c>
      <c r="F35" s="8">
        <f>COUNTIFS(Codificado!$E$36:$AE$36,"N/A",Codificado!$E$2:$AE$2,"Sí")</f>
        <v/>
      </c>
      <c r="G35" s="8">
        <f>COUNTIFS(Codificado!$E$36:$AE$36,"Nota",Codificado!$E$2:$AE$2,"Sí")</f>
        <v/>
      </c>
      <c r="H35" s="8">
        <f>COUNTIFS(Codificado!$E$36:$AE$36,"Sin registro",Codificado!$E$2:$AE$2,"Sí")</f>
        <v/>
      </c>
      <c r="I35" s="8">
        <f>SUM(D35:H35)</f>
        <v/>
      </c>
      <c r="J35" s="10">
        <f>IFERROR(D35/(D35+E35),"-")</f>
        <v/>
      </c>
      <c r="K35" s="15" t="inlineStr">
        <is>
          <t>No usar % S/N: leer notas</t>
        </is>
      </c>
    </row>
    <row r="36">
      <c r="A36" s="8" t="inlineStr">
        <is>
          <t>H7</t>
        </is>
      </c>
      <c r="B36" s="9" t="inlineStr">
        <is>
          <t>El cliente logra ver el contenido</t>
        </is>
      </c>
      <c r="C36" s="8" t="inlineStr">
        <is>
          <t>No</t>
        </is>
      </c>
      <c r="D36" s="8">
        <f>COUNTIFS(Codificado!$E$37:$AE$37,"S",Codificado!$E$2:$AE$2,"Sí")</f>
        <v/>
      </c>
      <c r="E36" s="8">
        <f>COUNTIFS(Codificado!$E$37:$AE$37,"N",Codificado!$E$2:$AE$2,"Sí")</f>
        <v/>
      </c>
      <c r="F36" s="8">
        <f>COUNTIFS(Codificado!$E$37:$AE$37,"N/A",Codificado!$E$2:$AE$2,"Sí")</f>
        <v/>
      </c>
      <c r="G36" s="8">
        <f>COUNTIFS(Codificado!$E$37:$AE$37,"Nota",Codificado!$E$2:$AE$2,"Sí")</f>
        <v/>
      </c>
      <c r="H36" s="8">
        <f>COUNTIFS(Codificado!$E$37:$AE$37,"Sin registro",Codificado!$E$2:$AE$2,"Sí")</f>
        <v/>
      </c>
      <c r="I36" s="8">
        <f>SUM(D36:H36)</f>
        <v/>
      </c>
      <c r="J36" s="10">
        <f>IFERROR(D36/(D36+E36),"-")</f>
        <v/>
      </c>
      <c r="K36" s="9" t="n"/>
    </row>
    <row r="37">
      <c r="A37" s="8" t="inlineStr">
        <is>
          <t>H7</t>
        </is>
      </c>
      <c r="B37" s="15" t="inlineStr">
        <is>
          <t>El cliente logra ver las suscripciones</t>
        </is>
      </c>
      <c r="C37" s="16" t="inlineStr">
        <is>
          <t>Sí</t>
        </is>
      </c>
      <c r="D37" s="8">
        <f>COUNTIFS(Codificado!$E$38:$AE$38,"S",Codificado!$E$2:$AE$2,"Sí")</f>
        <v/>
      </c>
      <c r="E37" s="8">
        <f>COUNTIFS(Codificado!$E$38:$AE$38,"N",Codificado!$E$2:$AE$2,"Sí")</f>
        <v/>
      </c>
      <c r="F37" s="8">
        <f>COUNTIFS(Codificado!$E$38:$AE$38,"N/A",Codificado!$E$2:$AE$2,"Sí")</f>
        <v/>
      </c>
      <c r="G37" s="8">
        <f>COUNTIFS(Codificado!$E$38:$AE$38,"Nota",Codificado!$E$2:$AE$2,"Sí")</f>
        <v/>
      </c>
      <c r="H37" s="8">
        <f>COUNTIFS(Codificado!$E$38:$AE$38,"Sin registro",Codificado!$E$2:$AE$2,"Sí")</f>
        <v/>
      </c>
      <c r="I37" s="8">
        <f>SUM(D37:H37)</f>
        <v/>
      </c>
      <c r="J37" s="10">
        <f>IFERROR(D37/(D37+E37),"-")</f>
        <v/>
      </c>
      <c r="K37" s="15" t="inlineStr">
        <is>
          <t>No usar % S/N: leer notas</t>
        </is>
      </c>
    </row>
    <row r="38">
      <c r="A38" s="8" t="inlineStr">
        <is>
          <t>H7</t>
        </is>
      </c>
      <c r="B38" s="9" t="inlineStr">
        <is>
          <t>El cliente logra ver datos de perfil</t>
        </is>
      </c>
      <c r="C38" s="8" t="inlineStr">
        <is>
          <t>No</t>
        </is>
      </c>
      <c r="D38" s="8">
        <f>COUNTIFS(Codificado!$E$39:$AE$39,"S",Codificado!$E$2:$AE$2,"Sí")</f>
        <v/>
      </c>
      <c r="E38" s="8">
        <f>COUNTIFS(Codificado!$E$39:$AE$39,"N",Codificado!$E$2:$AE$2,"Sí")</f>
        <v/>
      </c>
      <c r="F38" s="8">
        <f>COUNTIFS(Codificado!$E$39:$AE$39,"N/A",Codificado!$E$2:$AE$2,"Sí")</f>
        <v/>
      </c>
      <c r="G38" s="8">
        <f>COUNTIFS(Codificado!$E$39:$AE$39,"Nota",Codificado!$E$2:$AE$2,"Sí")</f>
        <v/>
      </c>
      <c r="H38" s="8">
        <f>COUNTIFS(Codificado!$E$39:$AE$39,"Sin registro",Codificado!$E$2:$AE$2,"Sí")</f>
        <v/>
      </c>
      <c r="I38" s="8">
        <f>SUM(D38:H38)</f>
        <v/>
      </c>
      <c r="J38" s="10">
        <f>IFERROR(D38/(D38+E38),"-")</f>
        <v/>
      </c>
      <c r="K38" s="9" t="n"/>
    </row>
    <row r="39">
      <c r="A39" s="8" t="inlineStr">
        <is>
          <t>H8</t>
        </is>
      </c>
      <c r="B39" s="9" t="inlineStr">
        <is>
          <t>Frases como "antes era más fácil" o "ahora es más fácil"</t>
        </is>
      </c>
      <c r="C39" s="8" t="inlineStr">
        <is>
          <t>No</t>
        </is>
      </c>
      <c r="D39" s="8">
        <f>COUNTIFS(Codificado!$E$40:$AE$40,"S",Codificado!$E$2:$AE$2,"Sí")</f>
        <v/>
      </c>
      <c r="E39" s="8">
        <f>COUNTIFS(Codificado!$E$40:$AE$40,"N",Codificado!$E$2:$AE$2,"Sí")</f>
        <v/>
      </c>
      <c r="F39" s="8">
        <f>COUNTIFS(Codificado!$E$40:$AE$40,"N/A",Codificado!$E$2:$AE$2,"Sí")</f>
        <v/>
      </c>
      <c r="G39" s="8">
        <f>COUNTIFS(Codificado!$E$40:$AE$40,"Nota",Codificado!$E$2:$AE$2,"Sí")</f>
        <v/>
      </c>
      <c r="H39" s="8">
        <f>COUNTIFS(Codificado!$E$40:$AE$40,"Sin registro",Codificado!$E$2:$AE$2,"Sí")</f>
        <v/>
      </c>
      <c r="I39" s="8">
        <f>SUM(D39:H39)</f>
        <v/>
      </c>
      <c r="J39" s="10">
        <f>IFERROR(D39/(D39+E39),"-")</f>
        <v/>
      </c>
      <c r="K39" s="9" t="n"/>
    </row>
    <row r="40">
      <c r="A40" s="8" t="inlineStr">
        <is>
          <t>H8</t>
        </is>
      </c>
      <c r="B40" s="9" t="inlineStr">
        <is>
          <t>Señales (gestos, muecas, expresiones) de resistencia al cambio</t>
        </is>
      </c>
      <c r="C40" s="8" t="inlineStr">
        <is>
          <t>No</t>
        </is>
      </c>
      <c r="D40" s="8">
        <f>COUNTIFS(Codificado!$E$41:$AE$41,"S",Codificado!$E$2:$AE$2,"Sí")</f>
        <v/>
      </c>
      <c r="E40" s="8">
        <f>COUNTIFS(Codificado!$E$41:$AE$41,"N",Codificado!$E$2:$AE$2,"Sí")</f>
        <v/>
      </c>
      <c r="F40" s="8">
        <f>COUNTIFS(Codificado!$E$41:$AE$41,"N/A",Codificado!$E$2:$AE$2,"Sí")</f>
        <v/>
      </c>
      <c r="G40" s="8">
        <f>COUNTIFS(Codificado!$E$41:$AE$41,"Nota",Codificado!$E$2:$AE$2,"Sí")</f>
        <v/>
      </c>
      <c r="H40" s="8">
        <f>COUNTIFS(Codificado!$E$41:$AE$41,"Sin registro",Codificado!$E$2:$AE$2,"Sí")</f>
        <v/>
      </c>
      <c r="I40" s="8">
        <f>SUM(D40:H40)</f>
        <v/>
      </c>
      <c r="J40" s="10">
        <f>IFERROR(D40/(D40+E40),"-")</f>
        <v/>
      </c>
      <c r="K40" s="9" t="n"/>
    </row>
    <row r="41">
      <c r="A41" s="8" t="inlineStr">
        <is>
          <t>H8</t>
        </is>
      </c>
      <c r="B41" s="9" t="inlineStr">
        <is>
          <t>Inseguridad manifiesta ("voy a necesitar ayuda", "no creo que pueda")</t>
        </is>
      </c>
      <c r="C41" s="8" t="inlineStr">
        <is>
          <t>No</t>
        </is>
      </c>
      <c r="D41" s="8">
        <f>COUNTIFS(Codificado!$E$42:$AE$42,"S",Codificado!$E$2:$AE$2,"Sí")</f>
        <v/>
      </c>
      <c r="E41" s="8">
        <f>COUNTIFS(Codificado!$E$42:$AE$42,"N",Codificado!$E$2:$AE$2,"Sí")</f>
        <v/>
      </c>
      <c r="F41" s="8">
        <f>COUNTIFS(Codificado!$E$42:$AE$42,"N/A",Codificado!$E$2:$AE$2,"Sí")</f>
        <v/>
      </c>
      <c r="G41" s="8">
        <f>COUNTIFS(Codificado!$E$42:$AE$42,"Nota",Codificado!$E$2:$AE$2,"Sí")</f>
        <v/>
      </c>
      <c r="H41" s="8">
        <f>COUNTIFS(Codificado!$E$42:$AE$42,"Sin registro",Codificado!$E$2:$AE$2,"Sí")</f>
        <v/>
      </c>
      <c r="I41" s="8">
        <f>SUM(D41:H41)</f>
        <v/>
      </c>
      <c r="J41" s="10">
        <f>IFERROR(D41/(D41+E41),"-")</f>
        <v/>
      </c>
      <c r="K41" s="9" t="n"/>
    </row>
    <row r="42">
      <c r="A42" s="8" t="inlineStr">
        <is>
          <t>H8</t>
        </is>
      </c>
      <c r="B42" s="9" t="inlineStr">
        <is>
          <t>El cliente requiere asistencia permanente del técnico (falta de autonomía)</t>
        </is>
      </c>
      <c r="C42" s="8" t="inlineStr">
        <is>
          <t>No</t>
        </is>
      </c>
      <c r="D42" s="8">
        <f>COUNTIFS(Codificado!$E$43:$AE$43,"S",Codificado!$E$2:$AE$2,"Sí")</f>
        <v/>
      </c>
      <c r="E42" s="8">
        <f>COUNTIFS(Codificado!$E$43:$AE$43,"N",Codificado!$E$2:$AE$2,"Sí")</f>
        <v/>
      </c>
      <c r="F42" s="8">
        <f>COUNTIFS(Codificado!$E$43:$AE$43,"N/A",Codificado!$E$2:$AE$2,"Sí")</f>
        <v/>
      </c>
      <c r="G42" s="8">
        <f>COUNTIFS(Codificado!$E$43:$AE$43,"Nota",Codificado!$E$2:$AE$2,"Sí")</f>
        <v/>
      </c>
      <c r="H42" s="8">
        <f>COUNTIFS(Codificado!$E$43:$AE$43,"Sin registro",Codificado!$E$2:$AE$2,"Sí")</f>
        <v/>
      </c>
      <c r="I42" s="8">
        <f>SUM(D42:H42)</f>
        <v/>
      </c>
      <c r="J42" s="10">
        <f>IFERROR(D42/(D42+E42),"-")</f>
        <v/>
      </c>
      <c r="K42" s="9" t="n"/>
    </row>
    <row r="43">
      <c r="A43" s="8" t="inlineStr">
        <is>
          <t>H8</t>
        </is>
      </c>
      <c r="B43" s="9" t="inlineStr">
        <is>
          <t>El cliente manifiesta rechazo ante la nueva interfaz</t>
        </is>
      </c>
      <c r="C43" s="8" t="inlineStr">
        <is>
          <t>No</t>
        </is>
      </c>
      <c r="D43" s="8">
        <f>COUNTIFS(Codificado!$E$44:$AE$44,"S",Codificado!$E$2:$AE$2,"Sí")</f>
        <v/>
      </c>
      <c r="E43" s="8">
        <f>COUNTIFS(Codificado!$E$44:$AE$44,"N",Codificado!$E$2:$AE$2,"Sí")</f>
        <v/>
      </c>
      <c r="F43" s="8">
        <f>COUNTIFS(Codificado!$E$44:$AE$44,"N/A",Codificado!$E$2:$AE$2,"Sí")</f>
        <v/>
      </c>
      <c r="G43" s="8">
        <f>COUNTIFS(Codificado!$E$44:$AE$44,"Nota",Codificado!$E$2:$AE$2,"Sí")</f>
        <v/>
      </c>
      <c r="H43" s="8">
        <f>COUNTIFS(Codificado!$E$44:$AE$44,"Sin registro",Codificado!$E$2:$AE$2,"Sí")</f>
        <v/>
      </c>
      <c r="I43" s="8">
        <f>SUM(D43:H43)</f>
        <v/>
      </c>
      <c r="J43" s="10">
        <f>IFERROR(D43/(D43+E43),"-")</f>
        <v/>
      </c>
      <c r="K43" s="9" t="n"/>
    </row>
    <row r="45">
      <c r="B45" s="5" t="inlineStr">
        <is>
          <t>Base = recambios (fila 2 de Codificado = 'Sí'). 'Nota' = observación textual sin S/N: en H1 y H5 indica que el evento ocurrió.</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12" customWidth="1" min="3" max="3"/>
    <col width="10" customWidth="1" min="4" max="4"/>
    <col width="14" customWidth="1" min="5" max="5"/>
    <col width="11" customWidth="1" min="6" max="6"/>
    <col width="30" customWidth="1" min="7" max="7"/>
    <col width="13" customWidth="1" min="8" max="8"/>
    <col width="14" customWidth="1" min="9" max="9"/>
  </cols>
  <sheetData>
    <row r="1">
      <c r="A1" s="6" t="inlineStr">
        <is>
          <t>ID</t>
        </is>
      </c>
      <c r="B1" s="6" t="inlineStr">
        <is>
          <t>Técnico</t>
        </is>
      </c>
      <c r="C1" s="6" t="inlineStr">
        <is>
          <t>Observador</t>
        </is>
      </c>
      <c r="D1" s="6" t="inlineStr">
        <is>
          <t>Fecha</t>
        </is>
      </c>
      <c r="E1" s="6" t="inlineStr">
        <is>
          <t>Tipo de TV</t>
        </is>
      </c>
      <c r="F1" s="6" t="inlineStr">
        <is>
          <t>Cant. decos</t>
        </is>
      </c>
      <c r="G1" s="6" t="inlineStr">
        <is>
          <t>Tipo de visita</t>
        </is>
      </c>
      <c r="H1" s="6" t="inlineStr">
        <is>
          <t>Base recambio</t>
        </is>
      </c>
      <c r="I1" s="6" t="inlineStr">
        <is>
          <t>Minutos en domicilio</t>
        </is>
      </c>
    </row>
    <row r="2">
      <c r="A2" s="8" t="inlineStr">
        <is>
          <t>V01</t>
        </is>
      </c>
      <c r="B2" s="8" t="inlineStr">
        <is>
          <t>Técnico A</t>
        </is>
      </c>
      <c r="C2" s="8" t="inlineStr">
        <is>
          <t>Lucas</t>
        </is>
      </c>
      <c r="D2" s="8" t="inlineStr">
        <is>
          <t>24-sep</t>
        </is>
      </c>
      <c r="E2" s="8" t="inlineStr">
        <is>
          <t>LCD</t>
        </is>
      </c>
      <c r="F2" s="8" t="n">
        <v>3</v>
      </c>
      <c r="G2" s="9" t="inlineStr">
        <is>
          <t>Recambio</t>
        </is>
      </c>
      <c r="H2" s="8" t="inlineStr">
        <is>
          <t>Sí</t>
        </is>
      </c>
      <c r="I2" s="8" t="n">
        <v>25</v>
      </c>
    </row>
    <row r="3">
      <c r="A3" s="8" t="inlineStr">
        <is>
          <t>V02</t>
        </is>
      </c>
      <c r="B3" s="8" t="inlineStr">
        <is>
          <t>Técnico A</t>
        </is>
      </c>
      <c r="C3" s="8" t="inlineStr">
        <is>
          <t>Lucas</t>
        </is>
      </c>
      <c r="D3" s="8" t="inlineStr">
        <is>
          <t>24-sep</t>
        </is>
      </c>
      <c r="E3" s="8" t="inlineStr">
        <is>
          <t>LCD</t>
        </is>
      </c>
      <c r="F3" s="8" t="n">
        <v>1</v>
      </c>
      <c r="G3" s="9" t="inlineStr">
        <is>
          <t>Recambio</t>
        </is>
      </c>
      <c r="H3" s="8" t="inlineStr">
        <is>
          <t>Sí</t>
        </is>
      </c>
      <c r="I3" s="8" t="n">
        <v>15</v>
      </c>
    </row>
    <row r="4">
      <c r="A4" s="8" t="inlineStr">
        <is>
          <t>V03</t>
        </is>
      </c>
      <c r="B4" s="8" t="inlineStr">
        <is>
          <t>Técnico A</t>
        </is>
      </c>
      <c r="C4" s="8" t="inlineStr">
        <is>
          <t>Lucas</t>
        </is>
      </c>
      <c r="D4" s="8" t="inlineStr">
        <is>
          <t>24-sep</t>
        </is>
      </c>
      <c r="E4" s="8" t="inlineStr">
        <is>
          <t>LCD</t>
        </is>
      </c>
      <c r="F4" s="8" t="n">
        <v>1</v>
      </c>
      <c r="G4" s="9" t="inlineStr">
        <is>
          <t>Recambio</t>
        </is>
      </c>
      <c r="H4" s="8" t="inlineStr">
        <is>
          <t>Sí</t>
        </is>
      </c>
      <c r="I4" s="8" t="n">
        <v>20</v>
      </c>
    </row>
    <row r="5">
      <c r="A5" s="8" t="inlineStr">
        <is>
          <t>V04</t>
        </is>
      </c>
      <c r="B5" s="8" t="inlineStr">
        <is>
          <t>Sin dato</t>
        </is>
      </c>
      <c r="C5" s="8" t="inlineStr">
        <is>
          <t>Sin dato</t>
        </is>
      </c>
      <c r="D5" s="8" t="inlineStr">
        <is>
          <t>Sin dato</t>
        </is>
      </c>
      <c r="E5" s="8" t="inlineStr">
        <is>
          <t>LCD</t>
        </is>
      </c>
      <c r="F5" s="8" t="n">
        <v>1</v>
      </c>
      <c r="G5" s="9" t="inlineStr">
        <is>
          <t>Recambio</t>
        </is>
      </c>
      <c r="H5" s="8" t="inlineStr">
        <is>
          <t>Sí</t>
        </is>
      </c>
      <c r="I5" s="8" t="n">
        <v>20</v>
      </c>
    </row>
    <row r="6">
      <c r="A6" s="8" t="inlineStr">
        <is>
          <t>V05</t>
        </is>
      </c>
      <c r="B6" s="8" t="inlineStr">
        <is>
          <t>Técnico A</t>
        </is>
      </c>
      <c r="C6" s="8" t="inlineStr">
        <is>
          <t>Lucas</t>
        </is>
      </c>
      <c r="D6" s="8" t="inlineStr">
        <is>
          <t>24-sep</t>
        </is>
      </c>
      <c r="E6" s="8" t="inlineStr">
        <is>
          <t>LCD</t>
        </is>
      </c>
      <c r="F6" s="8" t="n">
        <v>2</v>
      </c>
      <c r="G6" s="9" t="inlineStr">
        <is>
          <t>Recambio</t>
        </is>
      </c>
      <c r="H6" s="8" t="inlineStr">
        <is>
          <t>Sí</t>
        </is>
      </c>
      <c r="I6" s="8" t="n">
        <v>20</v>
      </c>
    </row>
    <row r="7">
      <c r="A7" s="8" t="inlineStr">
        <is>
          <t>V06</t>
        </is>
      </c>
      <c r="B7" s="8" t="inlineStr">
        <is>
          <t>Técnico A</t>
        </is>
      </c>
      <c r="C7" s="8" t="inlineStr">
        <is>
          <t>Lucas</t>
        </is>
      </c>
      <c r="D7" s="8" t="inlineStr">
        <is>
          <t>24-sep</t>
        </is>
      </c>
      <c r="E7" s="8" t="inlineStr">
        <is>
          <t>LCD</t>
        </is>
      </c>
      <c r="F7" s="8" t="n">
        <v>1</v>
      </c>
      <c r="G7" s="9" t="inlineStr">
        <is>
          <t>Recambio</t>
        </is>
      </c>
      <c r="H7" s="8" t="inlineStr">
        <is>
          <t>Sí</t>
        </is>
      </c>
      <c r="I7" s="8" t="n">
        <v>20</v>
      </c>
    </row>
    <row r="8">
      <c r="A8" s="18" t="inlineStr">
        <is>
          <t>V07</t>
        </is>
      </c>
      <c r="B8" s="18" t="inlineStr">
        <is>
          <t>Técnico A</t>
        </is>
      </c>
      <c r="C8" s="18" t="inlineStr">
        <is>
          <t>Lucas</t>
        </is>
      </c>
      <c r="D8" s="18" t="inlineStr">
        <is>
          <t>24-sep</t>
        </is>
      </c>
      <c r="E8" s="18" t="inlineStr">
        <is>
          <t>LCD</t>
        </is>
      </c>
      <c r="F8" s="18" t="n">
        <v>1</v>
      </c>
      <c r="G8" s="23" t="inlineStr">
        <is>
          <t>Instalación nueva</t>
        </is>
      </c>
      <c r="H8" s="18" t="inlineStr">
        <is>
          <t>No</t>
        </is>
      </c>
      <c r="I8" s="18" t="n">
        <v>15</v>
      </c>
    </row>
    <row r="9">
      <c r="A9" s="8" t="inlineStr">
        <is>
          <t>V08</t>
        </is>
      </c>
      <c r="B9" s="8" t="inlineStr">
        <is>
          <t>Técnico A</t>
        </is>
      </c>
      <c r="C9" s="8" t="inlineStr">
        <is>
          <t>Lucas</t>
        </is>
      </c>
      <c r="D9" s="8" t="inlineStr">
        <is>
          <t>24-sep</t>
        </is>
      </c>
      <c r="E9" s="8" t="inlineStr">
        <is>
          <t>LCD</t>
        </is>
      </c>
      <c r="F9" s="8" t="n">
        <v>1</v>
      </c>
      <c r="G9" s="9" t="inlineStr">
        <is>
          <t>Recambio</t>
        </is>
      </c>
      <c r="H9" s="8" t="inlineStr">
        <is>
          <t>Sí</t>
        </is>
      </c>
      <c r="I9" s="8" t="n">
        <v>20</v>
      </c>
    </row>
    <row r="10">
      <c r="A10" s="8" t="inlineStr">
        <is>
          <t>V09</t>
        </is>
      </c>
      <c r="B10" s="8" t="inlineStr">
        <is>
          <t>Técnico A</t>
        </is>
      </c>
      <c r="C10" s="8" t="inlineStr">
        <is>
          <t>Lucas</t>
        </is>
      </c>
      <c r="D10" s="8" t="inlineStr">
        <is>
          <t>25-sep</t>
        </is>
      </c>
      <c r="E10" s="8" t="inlineStr">
        <is>
          <t>LCD</t>
        </is>
      </c>
      <c r="F10" s="8" t="n">
        <v>1</v>
      </c>
      <c r="G10" s="9" t="inlineStr">
        <is>
          <t>Recambio</t>
        </is>
      </c>
      <c r="H10" s="8" t="inlineStr">
        <is>
          <t>Sí</t>
        </is>
      </c>
      <c r="I10" s="8" t="n">
        <v>15</v>
      </c>
    </row>
    <row r="11">
      <c r="A11" s="8" t="inlineStr">
        <is>
          <t>V10</t>
        </is>
      </c>
      <c r="B11" s="8" t="inlineStr">
        <is>
          <t>Técnico A</t>
        </is>
      </c>
      <c r="C11" s="8" t="inlineStr">
        <is>
          <t>Lucas</t>
        </is>
      </c>
      <c r="D11" s="8" t="inlineStr">
        <is>
          <t>25-sep</t>
        </is>
      </c>
      <c r="E11" s="8" t="inlineStr">
        <is>
          <t>LCD</t>
        </is>
      </c>
      <c r="F11" s="8" t="n">
        <v>2</v>
      </c>
      <c r="G11" s="9" t="inlineStr">
        <is>
          <t>Recambio</t>
        </is>
      </c>
      <c r="H11" s="8" t="inlineStr">
        <is>
          <t>Sí</t>
        </is>
      </c>
      <c r="I11" s="8" t="n">
        <v>20</v>
      </c>
    </row>
    <row r="12">
      <c r="A12" s="8" t="inlineStr">
        <is>
          <t>V11</t>
        </is>
      </c>
      <c r="B12" s="8" t="inlineStr">
        <is>
          <t>Técnico A</t>
        </is>
      </c>
      <c r="C12" s="8" t="inlineStr">
        <is>
          <t>Lucas</t>
        </is>
      </c>
      <c r="D12" s="8" t="inlineStr">
        <is>
          <t>25-sep</t>
        </is>
      </c>
      <c r="E12" s="8" t="inlineStr">
        <is>
          <t>LCD</t>
        </is>
      </c>
      <c r="F12" s="8" t="n">
        <v>3</v>
      </c>
      <c r="G12" s="9" t="inlineStr">
        <is>
          <t>Recambio</t>
        </is>
      </c>
      <c r="H12" s="8" t="inlineStr">
        <is>
          <t>Sí</t>
        </is>
      </c>
      <c r="I12" s="8" t="n">
        <v>30</v>
      </c>
    </row>
    <row r="13">
      <c r="A13" s="8" t="inlineStr">
        <is>
          <t>V12</t>
        </is>
      </c>
      <c r="B13" s="8" t="inlineStr">
        <is>
          <t>Técnico A</t>
        </is>
      </c>
      <c r="C13" s="8" t="inlineStr">
        <is>
          <t>Lucas</t>
        </is>
      </c>
      <c r="D13" s="8" t="inlineStr">
        <is>
          <t>25-sep</t>
        </is>
      </c>
      <c r="E13" s="8" t="inlineStr">
        <is>
          <t>LCD</t>
        </is>
      </c>
      <c r="F13" s="8" t="n">
        <v>1</v>
      </c>
      <c r="G13" s="9" t="inlineStr">
        <is>
          <t>Recambio</t>
        </is>
      </c>
      <c r="H13" s="8" t="inlineStr">
        <is>
          <t>Sí</t>
        </is>
      </c>
      <c r="I13" s="8" t="n">
        <v>15</v>
      </c>
    </row>
    <row r="14">
      <c r="A14" s="8" t="inlineStr">
        <is>
          <t>V13</t>
        </is>
      </c>
      <c r="B14" s="8" t="inlineStr">
        <is>
          <t>Técnico A</t>
        </is>
      </c>
      <c r="C14" s="8" t="inlineStr">
        <is>
          <t>Lucas</t>
        </is>
      </c>
      <c r="D14" s="8" t="inlineStr">
        <is>
          <t>25-sep</t>
        </is>
      </c>
      <c r="E14" s="8" t="inlineStr">
        <is>
          <t>LCD + 2 Smart</t>
        </is>
      </c>
      <c r="F14" s="8" t="n">
        <v>1</v>
      </c>
      <c r="G14" s="9" t="inlineStr">
        <is>
          <t>Recambio</t>
        </is>
      </c>
      <c r="H14" s="8" t="inlineStr">
        <is>
          <t>Sí</t>
        </is>
      </c>
      <c r="I14" s="8" t="n">
        <v>25</v>
      </c>
    </row>
    <row r="15">
      <c r="A15" s="8" t="inlineStr">
        <is>
          <t>V14</t>
        </is>
      </c>
      <c r="B15" s="8" t="inlineStr">
        <is>
          <t>Técnico A</t>
        </is>
      </c>
      <c r="C15" s="8" t="inlineStr">
        <is>
          <t>Lucas</t>
        </is>
      </c>
      <c r="D15" s="8" t="inlineStr">
        <is>
          <t>25-sep</t>
        </is>
      </c>
      <c r="E15" s="8" t="inlineStr">
        <is>
          <t>LCD</t>
        </is>
      </c>
      <c r="F15" s="8" t="n">
        <v>1</v>
      </c>
      <c r="G15" s="9" t="inlineStr">
        <is>
          <t>Recambio</t>
        </is>
      </c>
      <c r="H15" s="8" t="inlineStr">
        <is>
          <t>Sí</t>
        </is>
      </c>
      <c r="I15" s="8" t="n">
        <v>15</v>
      </c>
    </row>
    <row r="16">
      <c r="A16" s="18" t="inlineStr">
        <is>
          <t>V15</t>
        </is>
      </c>
      <c r="B16" s="18" t="inlineStr">
        <is>
          <t>Técnico A</t>
        </is>
      </c>
      <c r="C16" s="18" t="inlineStr">
        <is>
          <t>Lucas</t>
        </is>
      </c>
      <c r="D16" s="18" t="inlineStr">
        <is>
          <t>25-sep</t>
        </is>
      </c>
      <c r="E16" s="18" t="inlineStr">
        <is>
          <t>LCD</t>
        </is>
      </c>
      <c r="F16" s="18" t="n">
        <v>1</v>
      </c>
      <c r="G16" s="23" t="inlineStr">
        <is>
          <t>Instalación nueva</t>
        </is>
      </c>
      <c r="H16" s="18" t="inlineStr">
        <is>
          <t>No</t>
        </is>
      </c>
      <c r="I16" s="18" t="n">
        <v>15</v>
      </c>
    </row>
    <row r="17">
      <c r="A17" s="8" t="inlineStr">
        <is>
          <t>V16</t>
        </is>
      </c>
      <c r="B17" s="8" t="inlineStr">
        <is>
          <t>Técnico A</t>
        </is>
      </c>
      <c r="C17" s="8" t="inlineStr">
        <is>
          <t>Lucas</t>
        </is>
      </c>
      <c r="D17" s="8" t="inlineStr">
        <is>
          <t>25-sep</t>
        </is>
      </c>
      <c r="E17" s="8" t="inlineStr">
        <is>
          <t>LCD</t>
        </is>
      </c>
      <c r="F17" s="8" t="n">
        <v>1</v>
      </c>
      <c r="G17" s="9" t="inlineStr">
        <is>
          <t>Recambio</t>
        </is>
      </c>
      <c r="H17" s="8" t="inlineStr">
        <is>
          <t>Sí</t>
        </is>
      </c>
      <c r="I17" s="8" t="n">
        <v>15</v>
      </c>
    </row>
    <row r="18">
      <c r="A18" s="8" t="inlineStr">
        <is>
          <t>V17</t>
        </is>
      </c>
      <c r="B18" s="8" t="inlineStr">
        <is>
          <t>Técnico B</t>
        </is>
      </c>
      <c r="C18" s="8" t="inlineStr">
        <is>
          <t>Marcelo</t>
        </is>
      </c>
      <c r="D18" s="8" t="inlineStr">
        <is>
          <t>25-sep</t>
        </is>
      </c>
      <c r="E18" s="8" t="inlineStr">
        <is>
          <t>Smart TV</t>
        </is>
      </c>
      <c r="F18" s="8" t="n">
        <v>1</v>
      </c>
      <c r="G18" s="9" t="inlineStr">
        <is>
          <t>Recambio</t>
        </is>
      </c>
      <c r="H18" s="8" t="inlineStr">
        <is>
          <t>Sí</t>
        </is>
      </c>
      <c r="I18" s="8" t="n">
        <v>15</v>
      </c>
    </row>
    <row r="19">
      <c r="A19" s="8" t="inlineStr">
        <is>
          <t>V18</t>
        </is>
      </c>
      <c r="B19" s="8" t="inlineStr">
        <is>
          <t>Técnico B</t>
        </is>
      </c>
      <c r="C19" s="8" t="inlineStr">
        <is>
          <t>Marcelo</t>
        </is>
      </c>
      <c r="D19" s="8" t="inlineStr">
        <is>
          <t>25-sep</t>
        </is>
      </c>
      <c r="E19" s="8" t="inlineStr">
        <is>
          <t>Smart TV</t>
        </is>
      </c>
      <c r="F19" s="8" t="n">
        <v>1</v>
      </c>
      <c r="G19" s="9" t="inlineStr">
        <is>
          <t>Recambio</t>
        </is>
      </c>
      <c r="H19" s="8" t="inlineStr">
        <is>
          <t>Sí</t>
        </is>
      </c>
      <c r="I19" s="8" t="n">
        <v>15</v>
      </c>
    </row>
    <row r="20">
      <c r="A20" s="8" t="inlineStr">
        <is>
          <t>V19</t>
        </is>
      </c>
      <c r="B20" s="8" t="inlineStr">
        <is>
          <t>Técnico B</t>
        </is>
      </c>
      <c r="C20" s="8" t="inlineStr">
        <is>
          <t>Marcelo</t>
        </is>
      </c>
      <c r="D20" s="8" t="inlineStr">
        <is>
          <t>25-sep</t>
        </is>
      </c>
      <c r="E20" s="8" t="inlineStr">
        <is>
          <t>LCD</t>
        </is>
      </c>
      <c r="F20" s="8" t="n">
        <v>1</v>
      </c>
      <c r="G20" s="9" t="inlineStr">
        <is>
          <t>Recambio</t>
        </is>
      </c>
      <c r="H20" s="8" t="inlineStr">
        <is>
          <t>Sí</t>
        </is>
      </c>
      <c r="I20" s="8" t="n">
        <v>15</v>
      </c>
    </row>
    <row r="21">
      <c r="A21" s="8" t="inlineStr">
        <is>
          <t>V20</t>
        </is>
      </c>
      <c r="B21" s="8" t="inlineStr">
        <is>
          <t>Técnico B</t>
        </is>
      </c>
      <c r="C21" s="8" t="inlineStr">
        <is>
          <t>Marcelo</t>
        </is>
      </c>
      <c r="D21" s="8" t="inlineStr">
        <is>
          <t>25-sep</t>
        </is>
      </c>
      <c r="E21" s="8" t="inlineStr">
        <is>
          <t>LCD</t>
        </is>
      </c>
      <c r="F21" s="8" t="n">
        <v>1</v>
      </c>
      <c r="G21" s="9" t="inlineStr">
        <is>
          <t>Recambio</t>
        </is>
      </c>
      <c r="H21" s="8" t="inlineStr">
        <is>
          <t>Sí</t>
        </is>
      </c>
      <c r="I21" s="8" t="n">
        <v>15</v>
      </c>
    </row>
    <row r="22">
      <c r="A22" s="8" t="inlineStr">
        <is>
          <t>V21</t>
        </is>
      </c>
      <c r="B22" s="8" t="inlineStr">
        <is>
          <t>Técnico B</t>
        </is>
      </c>
      <c r="C22" s="8" t="inlineStr">
        <is>
          <t>Marcelo</t>
        </is>
      </c>
      <c r="D22" s="8" t="inlineStr">
        <is>
          <t>25-sep</t>
        </is>
      </c>
      <c r="E22" s="8" t="inlineStr">
        <is>
          <t>LCD</t>
        </is>
      </c>
      <c r="F22" s="8" t="n">
        <v>1</v>
      </c>
      <c r="G22" s="9" t="inlineStr">
        <is>
          <t>Recambio</t>
        </is>
      </c>
      <c r="H22" s="8" t="inlineStr">
        <is>
          <t>Sí</t>
        </is>
      </c>
      <c r="I22" s="8" t="n">
        <v>15</v>
      </c>
    </row>
    <row r="23">
      <c r="A23" s="8" t="inlineStr">
        <is>
          <t>V22</t>
        </is>
      </c>
      <c r="B23" s="8" t="inlineStr">
        <is>
          <t>Técnico B</t>
        </is>
      </c>
      <c r="C23" s="8" t="inlineStr">
        <is>
          <t>Marcelo</t>
        </is>
      </c>
      <c r="D23" s="8" t="inlineStr">
        <is>
          <t>25-sep</t>
        </is>
      </c>
      <c r="E23" s="8" t="inlineStr">
        <is>
          <t>Smart TV</t>
        </is>
      </c>
      <c r="F23" s="8" t="n">
        <v>1</v>
      </c>
      <c r="G23" s="9" t="inlineStr">
        <is>
          <t>Recambio</t>
        </is>
      </c>
      <c r="H23" s="8" t="inlineStr">
        <is>
          <t>Sí</t>
        </is>
      </c>
      <c r="I23" s="8" t="n">
        <v>20</v>
      </c>
    </row>
    <row r="24">
      <c r="A24" s="8" t="inlineStr">
        <is>
          <t>V23</t>
        </is>
      </c>
      <c r="B24" s="8" t="inlineStr">
        <is>
          <t>Técnico B</t>
        </is>
      </c>
      <c r="C24" s="8" t="inlineStr">
        <is>
          <t>Marcelo</t>
        </is>
      </c>
      <c r="D24" s="8" t="inlineStr">
        <is>
          <t>25-sep</t>
        </is>
      </c>
      <c r="E24" s="8" t="inlineStr">
        <is>
          <t>LCD</t>
        </is>
      </c>
      <c r="F24" s="8" t="n">
        <v>1</v>
      </c>
      <c r="G24" s="9" t="inlineStr">
        <is>
          <t>Recambio</t>
        </is>
      </c>
      <c r="H24" s="8" t="inlineStr">
        <is>
          <t>Sí</t>
        </is>
      </c>
      <c r="I24" s="8" t="n">
        <v>15</v>
      </c>
    </row>
    <row r="25">
      <c r="A25" s="8" t="inlineStr">
        <is>
          <t>V24</t>
        </is>
      </c>
      <c r="B25" s="8" t="inlineStr">
        <is>
          <t>Técnico B</t>
        </is>
      </c>
      <c r="C25" s="8" t="inlineStr">
        <is>
          <t>Marcelo</t>
        </is>
      </c>
      <c r="D25" s="8" t="inlineStr">
        <is>
          <t>25-sep</t>
        </is>
      </c>
      <c r="E25" s="8" t="inlineStr">
        <is>
          <t>Smart TV</t>
        </is>
      </c>
      <c r="F25" s="8" t="n">
        <v>1</v>
      </c>
      <c r="G25" s="9" t="inlineStr">
        <is>
          <t>Recambio</t>
        </is>
      </c>
      <c r="H25" s="8" t="inlineStr">
        <is>
          <t>Sí</t>
        </is>
      </c>
      <c r="I25" s="8" t="n">
        <v>15</v>
      </c>
    </row>
    <row r="26">
      <c r="A26" s="8" t="inlineStr">
        <is>
          <t>V25</t>
        </is>
      </c>
      <c r="B26" s="8" t="inlineStr">
        <is>
          <t>Técnico B</t>
        </is>
      </c>
      <c r="C26" s="8" t="inlineStr">
        <is>
          <t>Marcelo</t>
        </is>
      </c>
      <c r="D26" s="8" t="inlineStr">
        <is>
          <t>25-sep</t>
        </is>
      </c>
      <c r="E26" s="8" t="inlineStr">
        <is>
          <t>LCD</t>
        </is>
      </c>
      <c r="F26" s="8" t="n">
        <v>3</v>
      </c>
      <c r="G26" s="9" t="inlineStr">
        <is>
          <t>Recambio</t>
        </is>
      </c>
      <c r="H26" s="8" t="inlineStr">
        <is>
          <t>Sí</t>
        </is>
      </c>
      <c r="I26" s="8" t="n">
        <v>25</v>
      </c>
    </row>
    <row r="27">
      <c r="A27" s="8" t="inlineStr">
        <is>
          <t>V26</t>
        </is>
      </c>
      <c r="B27" s="8" t="inlineStr">
        <is>
          <t>Técnico B</t>
        </is>
      </c>
      <c r="C27" s="8" t="inlineStr">
        <is>
          <t>Marcelo</t>
        </is>
      </c>
      <c r="D27" s="8" t="inlineStr">
        <is>
          <t>25-sep</t>
        </is>
      </c>
      <c r="E27" s="8" t="inlineStr">
        <is>
          <t>Smart TV</t>
        </is>
      </c>
      <c r="F27" s="8" t="n">
        <v>1</v>
      </c>
      <c r="G27" s="9" t="inlineStr">
        <is>
          <t>Recambio</t>
        </is>
      </c>
      <c r="H27" s="8" t="inlineStr">
        <is>
          <t>Sí</t>
        </is>
      </c>
      <c r="I27" s="8" t="n">
        <v>15</v>
      </c>
    </row>
    <row r="28">
      <c r="A28" s="8" t="inlineStr">
        <is>
          <t>V27</t>
        </is>
      </c>
      <c r="B28" s="8" t="inlineStr">
        <is>
          <t>Técnico B</t>
        </is>
      </c>
      <c r="C28" s="8" t="inlineStr">
        <is>
          <t>Marcelo</t>
        </is>
      </c>
      <c r="D28" s="8" t="inlineStr">
        <is>
          <t>25-sep</t>
        </is>
      </c>
      <c r="E28" s="8" t="inlineStr">
        <is>
          <t>LCD</t>
        </is>
      </c>
      <c r="F28" s="8" t="n">
        <v>1</v>
      </c>
      <c r="G28" s="9" t="inlineStr">
        <is>
          <t>Recambio</t>
        </is>
      </c>
      <c r="H28" s="8" t="inlineStr">
        <is>
          <t>Sí</t>
        </is>
      </c>
      <c r="I28" s="8" t="n">
        <v>15</v>
      </c>
    </row>
    <row r="30">
      <c r="G30" s="20" t="inlineStr">
        <is>
          <t>Visitas totales</t>
        </is>
      </c>
      <c r="I30" s="8">
        <f>COUNTA(A2:A28)</f>
        <v/>
      </c>
    </row>
    <row r="31">
      <c r="G31" s="20" t="inlineStr">
        <is>
          <t>Recambios (base)</t>
        </is>
      </c>
      <c r="I31" s="8">
        <f>COUNTIF(H2:H28,"Sí")</f>
        <v/>
      </c>
    </row>
    <row r="32">
      <c r="G32" s="20" t="inlineStr">
        <is>
          <t>Promedio minutos (base)</t>
        </is>
      </c>
      <c r="I32" s="24">
        <f>AVERAGEIFS(I2:I28,H2:H28,"Sí")</f>
        <v/>
      </c>
    </row>
    <row r="33">
      <c r="G33" s="20" t="inlineStr">
        <is>
          <t>Máximo minutos (base)</t>
        </is>
      </c>
      <c r="I33" s="8">
        <f>_xlfn.MAXIFS(I2:I28,H2:H28,"Sí")</f>
        <v/>
      </c>
    </row>
    <row r="34">
      <c r="G34" s="20" t="inlineStr">
        <is>
          <t>Mínimo minutos (base)</t>
        </is>
      </c>
      <c r="I34" s="8">
        <f>_xlfn.MINIFS(I2:I28,H2:H28,"Sí")</f>
        <v/>
      </c>
    </row>
    <row r="35">
      <c r="G35" s="20" t="inlineStr">
        <is>
          <t>Promedio minutos Técnico A</t>
        </is>
      </c>
      <c r="I35" s="24">
        <f>AVERAGEIFS(I2:I28,H2:H28,"Sí",B2:B28,"Técnico A")</f>
        <v/>
      </c>
    </row>
    <row r="36">
      <c r="G36" s="20" t="inlineStr">
        <is>
          <t>Promedio minutos Técnico B</t>
        </is>
      </c>
      <c r="I36" s="24">
        <f>AVERAGEIFS(I2:I28,H2:H28,"Sí",B2:B28,"Técnico B")</f>
        <v/>
      </c>
    </row>
    <row r="37">
      <c r="G37" s="20" t="inlineStr">
        <is>
          <t>Hogares con más de 1 deco (base)</t>
        </is>
      </c>
      <c r="I37" s="8">
        <f>COUNTIFS(F2:F28,"&gt;1",H2:H28,"Sí")</f>
        <v/>
      </c>
    </row>
    <row r="38">
      <c r="G38" s="20" t="inlineStr">
        <is>
          <t>Decos recambiados (base)</t>
        </is>
      </c>
      <c r="I38" s="8">
        <f>SUMIFS(F2:F28,H2:H28,"Sí")</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5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40" customWidth="1" min="3" max="3"/>
    <col width="34"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6" t="inlineStr">
        <is>
          <t>Hipótesis</t>
        </is>
      </c>
      <c r="B1" s="6" t="inlineStr">
        <is>
          <t>Criterio original</t>
        </is>
      </c>
      <c r="C1" s="6" t="inlineStr">
        <is>
          <t>Criterio (redacción positiva)</t>
        </is>
      </c>
      <c r="D1" s="6" t="inlineStr">
        <is>
          <t>Alerta de lectura</t>
        </is>
      </c>
      <c r="E1" s="6" t="inlineStr">
        <is>
          <t>V01</t>
        </is>
      </c>
      <c r="F1" s="6" t="inlineStr">
        <is>
          <t>V02</t>
        </is>
      </c>
      <c r="G1" s="6" t="inlineStr">
        <is>
          <t>V03</t>
        </is>
      </c>
      <c r="H1" s="6" t="inlineStr">
        <is>
          <t>V04</t>
        </is>
      </c>
      <c r="I1" s="6" t="inlineStr">
        <is>
          <t>V05</t>
        </is>
      </c>
      <c r="J1" s="6" t="inlineStr">
        <is>
          <t>V06</t>
        </is>
      </c>
      <c r="K1" s="6" t="inlineStr">
        <is>
          <t>V07</t>
        </is>
      </c>
      <c r="L1" s="6" t="inlineStr">
        <is>
          <t>V08</t>
        </is>
      </c>
      <c r="M1" s="6" t="inlineStr">
        <is>
          <t>V09</t>
        </is>
      </c>
      <c r="N1" s="6" t="inlineStr">
        <is>
          <t>V10</t>
        </is>
      </c>
      <c r="O1" s="6" t="inlineStr">
        <is>
          <t>V11</t>
        </is>
      </c>
      <c r="P1" s="6" t="inlineStr">
        <is>
          <t>V12</t>
        </is>
      </c>
      <c r="Q1" s="6" t="inlineStr">
        <is>
          <t>V13</t>
        </is>
      </c>
      <c r="R1" s="6" t="inlineStr">
        <is>
          <t>V14</t>
        </is>
      </c>
      <c r="S1" s="6" t="inlineStr">
        <is>
          <t>V15</t>
        </is>
      </c>
      <c r="T1" s="6" t="inlineStr">
        <is>
          <t>V16</t>
        </is>
      </c>
      <c r="U1" s="6" t="inlineStr">
        <is>
          <t>V17</t>
        </is>
      </c>
      <c r="V1" s="6" t="inlineStr">
        <is>
          <t>V18</t>
        </is>
      </c>
      <c r="W1" s="6" t="inlineStr">
        <is>
          <t>V19</t>
        </is>
      </c>
      <c r="X1" s="6" t="inlineStr">
        <is>
          <t>V20</t>
        </is>
      </c>
      <c r="Y1" s="6" t="inlineStr">
        <is>
          <t>V21</t>
        </is>
      </c>
      <c r="Z1" s="6" t="inlineStr">
        <is>
          <t>V22</t>
        </is>
      </c>
      <c r="AA1" s="6" t="inlineStr">
        <is>
          <t>V23</t>
        </is>
      </c>
      <c r="AB1" s="6" t="inlineStr">
        <is>
          <t>V24</t>
        </is>
      </c>
      <c r="AC1" s="6" t="inlineStr">
        <is>
          <t>V25</t>
        </is>
      </c>
      <c r="AD1" s="6" t="inlineStr">
        <is>
          <t>V26</t>
        </is>
      </c>
      <c r="AE1" s="6" t="inlineStr">
        <is>
          <t>V27</t>
        </is>
      </c>
    </row>
    <row r="2" ht="28" customHeight="1">
      <c r="A2" s="7" t="inlineStr">
        <is>
          <t>H1. Existen momentos críticos dentro de la visita (llegada, explicación, instalación, prueba y cierre) que determinan la satisfacción final del cliente.</t>
        </is>
      </c>
    </row>
    <row r="3">
      <c r="A3" s="8" t="inlineStr">
        <is>
          <t>H1</t>
        </is>
      </c>
      <c r="B3" s="9" t="inlineStr">
        <is>
          <t>Llegada</t>
        </is>
      </c>
      <c r="C3" s="20" t="inlineStr">
        <is>
          <t>Llegada: el momento genera una reacción relevante del cliente (sorpresa, duda, emoción)</t>
        </is>
      </c>
      <c r="D3" s="9" t="n"/>
      <c r="E3" s="8" t="inlineStr">
        <is>
          <t>N</t>
        </is>
      </c>
      <c r="F3" s="8" t="inlineStr">
        <is>
          <t>N</t>
        </is>
      </c>
      <c r="G3" s="8" t="inlineStr">
        <is>
          <t>N</t>
        </is>
      </c>
      <c r="H3" s="8" t="inlineStr">
        <is>
          <t>N</t>
        </is>
      </c>
      <c r="I3" s="8" t="n"/>
      <c r="J3" s="9" t="inlineStr">
        <is>
          <t>Estaba en la puerta esperándonos</t>
        </is>
      </c>
      <c r="K3" s="18" t="inlineStr">
        <is>
          <t>N</t>
        </is>
      </c>
      <c r="L3" s="8" t="inlineStr">
        <is>
          <t>N</t>
        </is>
      </c>
      <c r="M3" s="9" t="inlineStr">
        <is>
          <t>No es el titular</t>
        </is>
      </c>
      <c r="N3" s="8" t="inlineStr">
        <is>
          <t>N</t>
        </is>
      </c>
      <c r="O3" s="8" t="inlineStr">
        <is>
          <t>N</t>
        </is>
      </c>
      <c r="P3" s="8" t="inlineStr">
        <is>
          <t>N</t>
        </is>
      </c>
      <c r="Q3" s="9" t="inlineStr">
        <is>
          <t>Estaba en la puerta esperándonos</t>
        </is>
      </c>
      <c r="R3" s="9" t="inlineStr">
        <is>
          <t>Estaba almorzando</t>
        </is>
      </c>
      <c r="S3" s="18" t="inlineStr">
        <is>
          <t>N/A</t>
        </is>
      </c>
      <c r="T3" s="8" t="inlineStr">
        <is>
          <t>N</t>
        </is>
      </c>
      <c r="U3" s="8" t="inlineStr">
        <is>
          <t>N</t>
        </is>
      </c>
      <c r="V3" s="8" t="inlineStr">
        <is>
          <t>N</t>
        </is>
      </c>
      <c r="W3" s="8" t="inlineStr">
        <is>
          <t>N</t>
        </is>
      </c>
      <c r="X3" s="8" t="inlineStr">
        <is>
          <t>N</t>
        </is>
      </c>
      <c r="Y3" s="8" t="inlineStr">
        <is>
          <t>N</t>
        </is>
      </c>
      <c r="Z3" s="8" t="inlineStr">
        <is>
          <t>N</t>
        </is>
      </c>
      <c r="AA3" s="9" t="inlineStr">
        <is>
          <t>No esperó en la puerta</t>
        </is>
      </c>
      <c r="AB3" s="8" t="inlineStr">
        <is>
          <t>N</t>
        </is>
      </c>
      <c r="AC3" s="8" t="inlineStr">
        <is>
          <t>N</t>
        </is>
      </c>
      <c r="AD3" s="8" t="inlineStr">
        <is>
          <t>N</t>
        </is>
      </c>
      <c r="AE3" s="8" t="inlineStr">
        <is>
          <t>N</t>
        </is>
      </c>
    </row>
    <row r="4">
      <c r="A4" s="8" t="inlineStr">
        <is>
          <t>H1</t>
        </is>
      </c>
      <c r="B4" s="9" t="inlineStr">
        <is>
          <t>Explicación del cambio</t>
        </is>
      </c>
      <c r="C4" s="20" t="inlineStr">
        <is>
          <t>Explicación del cambio: el momento genera una reacción relevante del cliente</t>
        </is>
      </c>
      <c r="D4" s="9" t="n"/>
      <c r="E4" s="8" t="inlineStr">
        <is>
          <t>N</t>
        </is>
      </c>
      <c r="F4" s="8" t="inlineStr">
        <is>
          <t>S</t>
        </is>
      </c>
      <c r="G4" s="9" t="inlineStr">
        <is>
          <t>¿Por qué el cambio?</t>
        </is>
      </c>
      <c r="H4" s="8" t="inlineStr">
        <is>
          <t>S</t>
        </is>
      </c>
      <c r="I4" s="8" t="n"/>
      <c r="J4" s="8" t="inlineStr">
        <is>
          <t>N</t>
        </is>
      </c>
      <c r="K4" s="18" t="inlineStr">
        <is>
          <t>N/A</t>
        </is>
      </c>
      <c r="L4" s="8" t="inlineStr">
        <is>
          <t>N</t>
        </is>
      </c>
      <c r="M4" s="8" t="inlineStr">
        <is>
          <t>N</t>
        </is>
      </c>
      <c r="N4" s="8" t="inlineStr">
        <is>
          <t>N</t>
        </is>
      </c>
      <c r="O4" s="9" t="inlineStr">
        <is>
          <t>"Ah, ¿puedo instalar apps?"</t>
        </is>
      </c>
      <c r="P4" s="9" t="inlineStr">
        <is>
          <t>"Ah, ¿es nuevo?"</t>
        </is>
      </c>
      <c r="Q4" s="8" t="inlineStr">
        <is>
          <t>N</t>
        </is>
      </c>
      <c r="R4" s="8" t="inlineStr">
        <is>
          <t>N</t>
        </is>
      </c>
      <c r="S4" s="18" t="inlineStr">
        <is>
          <t>N/A</t>
        </is>
      </c>
      <c r="T4" s="8" t="inlineStr">
        <is>
          <t>N</t>
        </is>
      </c>
      <c r="U4" s="8" t="inlineStr">
        <is>
          <t>S</t>
        </is>
      </c>
      <c r="V4" s="8" t="inlineStr">
        <is>
          <t>S</t>
        </is>
      </c>
      <c r="W4" s="8" t="inlineStr">
        <is>
          <t>S</t>
        </is>
      </c>
      <c r="X4" s="8" t="inlineStr">
        <is>
          <t>S</t>
        </is>
      </c>
      <c r="Y4" s="8" t="inlineStr">
        <is>
          <t>S</t>
        </is>
      </c>
      <c r="Z4" s="8" t="inlineStr">
        <is>
          <t>S</t>
        </is>
      </c>
      <c r="AA4" s="8" t="inlineStr">
        <is>
          <t>S</t>
        </is>
      </c>
      <c r="AB4" s="8" t="inlineStr">
        <is>
          <t>S</t>
        </is>
      </c>
      <c r="AC4" s="8" t="inlineStr">
        <is>
          <t>S</t>
        </is>
      </c>
      <c r="AD4" s="8" t="inlineStr">
        <is>
          <t>S</t>
        </is>
      </c>
      <c r="AE4" s="8" t="inlineStr">
        <is>
          <t>S</t>
        </is>
      </c>
    </row>
    <row r="5">
      <c r="A5" s="8" t="inlineStr">
        <is>
          <t>H1</t>
        </is>
      </c>
      <c r="B5" s="9" t="inlineStr">
        <is>
          <t>Instalación</t>
        </is>
      </c>
      <c r="C5" s="20" t="inlineStr">
        <is>
          <t>Instalación: el momento genera una reacción relevante del cliente</t>
        </is>
      </c>
      <c r="D5" s="9" t="n"/>
      <c r="E5" s="8" t="inlineStr">
        <is>
          <t>N</t>
        </is>
      </c>
      <c r="F5" s="8" t="inlineStr">
        <is>
          <t>N</t>
        </is>
      </c>
      <c r="G5" s="8" t="inlineStr">
        <is>
          <t>N</t>
        </is>
      </c>
      <c r="H5" s="8" t="inlineStr">
        <is>
          <t>N</t>
        </is>
      </c>
      <c r="I5" s="8" t="n"/>
      <c r="J5" s="8" t="inlineStr">
        <is>
          <t>N</t>
        </is>
      </c>
      <c r="K5" s="18" t="inlineStr">
        <is>
          <t>N</t>
        </is>
      </c>
      <c r="L5" s="8" t="inlineStr">
        <is>
          <t>N</t>
        </is>
      </c>
      <c r="M5" s="8" t="inlineStr">
        <is>
          <t>N</t>
        </is>
      </c>
      <c r="N5" s="8" t="inlineStr">
        <is>
          <t>N</t>
        </is>
      </c>
      <c r="O5" s="8" t="inlineStr">
        <is>
          <t>N</t>
        </is>
      </c>
      <c r="P5" s="8" t="inlineStr">
        <is>
          <t>N</t>
        </is>
      </c>
      <c r="Q5" s="8" t="inlineStr">
        <is>
          <t>N</t>
        </is>
      </c>
      <c r="R5" s="8" t="inlineStr">
        <is>
          <t>N</t>
        </is>
      </c>
      <c r="S5" s="18" t="inlineStr">
        <is>
          <t>N/A</t>
        </is>
      </c>
      <c r="T5" s="8" t="inlineStr">
        <is>
          <t>N</t>
        </is>
      </c>
      <c r="U5" s="8" t="inlineStr">
        <is>
          <t>N</t>
        </is>
      </c>
      <c r="V5" s="8" t="inlineStr">
        <is>
          <t>N</t>
        </is>
      </c>
      <c r="W5" s="8" t="inlineStr">
        <is>
          <t>N</t>
        </is>
      </c>
      <c r="X5" s="8" t="inlineStr">
        <is>
          <t>N</t>
        </is>
      </c>
      <c r="Y5" s="8" t="inlineStr">
        <is>
          <t>N</t>
        </is>
      </c>
      <c r="Z5" s="8" t="inlineStr">
        <is>
          <t>N</t>
        </is>
      </c>
      <c r="AA5" s="8" t="inlineStr">
        <is>
          <t>N</t>
        </is>
      </c>
      <c r="AB5" s="8" t="inlineStr">
        <is>
          <t>N</t>
        </is>
      </c>
      <c r="AC5" s="8" t="inlineStr">
        <is>
          <t>N</t>
        </is>
      </c>
      <c r="AD5" s="8" t="inlineStr">
        <is>
          <t>N</t>
        </is>
      </c>
      <c r="AE5" s="8" t="inlineStr">
        <is>
          <t>N</t>
        </is>
      </c>
    </row>
    <row r="6">
      <c r="A6" s="8" t="inlineStr">
        <is>
          <t>H1</t>
        </is>
      </c>
      <c r="B6" s="9" t="inlineStr">
        <is>
          <t>Prueba del servicio</t>
        </is>
      </c>
      <c r="C6" s="20" t="inlineStr">
        <is>
          <t>Prueba del servicio: el momento genera una reacción relevante del cliente</t>
        </is>
      </c>
      <c r="D6" s="9" t="n"/>
      <c r="E6" s="8" t="inlineStr">
        <is>
          <t>S</t>
        </is>
      </c>
      <c r="F6" s="8" t="inlineStr">
        <is>
          <t>S</t>
        </is>
      </c>
      <c r="G6" s="8" t="inlineStr">
        <is>
          <t>S</t>
        </is>
      </c>
      <c r="H6" s="9" t="inlineStr">
        <is>
          <t>¿Por qué el cambio?</t>
        </is>
      </c>
      <c r="I6" s="8" t="n"/>
      <c r="J6" s="8" t="inlineStr">
        <is>
          <t>S</t>
        </is>
      </c>
      <c r="K6" s="18" t="inlineStr">
        <is>
          <t>S</t>
        </is>
      </c>
      <c r="L6" s="9" t="inlineStr">
        <is>
          <t>Entusiasmo</t>
        </is>
      </c>
      <c r="M6" s="8" t="inlineStr">
        <is>
          <t>S</t>
        </is>
      </c>
      <c r="N6" s="9" t="inlineStr">
        <is>
          <t>¿Cómo veo HBO?</t>
        </is>
      </c>
      <c r="O6" s="9" t="inlineStr">
        <is>
          <t>Contento</t>
        </is>
      </c>
      <c r="P6" s="8" t="inlineStr">
        <is>
          <t>N</t>
        </is>
      </c>
      <c r="Q6" s="8" t="inlineStr">
        <is>
          <t>N</t>
        </is>
      </c>
      <c r="R6" s="9" t="inlineStr">
        <is>
          <t>¿Cómo vincular el control del deco con el TV?</t>
        </is>
      </c>
      <c r="S6" s="18" t="inlineStr">
        <is>
          <t>N</t>
        </is>
      </c>
      <c r="T6" s="9" t="inlineStr">
        <is>
          <t>¿Cómo vincular Netflix?</t>
        </is>
      </c>
      <c r="U6" s="9" t="inlineStr">
        <is>
          <t>S - Pregunta cómo usar las apps</t>
        </is>
      </c>
      <c r="V6" s="8" t="inlineStr">
        <is>
          <t>S</t>
        </is>
      </c>
      <c r="W6" s="8" t="inlineStr">
        <is>
          <t>S</t>
        </is>
      </c>
      <c r="X6" s="8" t="inlineStr">
        <is>
          <t>S</t>
        </is>
      </c>
      <c r="Y6" s="8" t="inlineStr">
        <is>
          <t>S</t>
        </is>
      </c>
      <c r="Z6" s="8" t="inlineStr">
        <is>
          <t>S</t>
        </is>
      </c>
      <c r="AA6" s="8" t="inlineStr">
        <is>
          <t>S</t>
        </is>
      </c>
      <c r="AB6" s="8" t="inlineStr">
        <is>
          <t>S</t>
        </is>
      </c>
      <c r="AC6" s="9" t="inlineStr">
        <is>
          <t>Consulta cómo se usa el control con la voz</t>
        </is>
      </c>
      <c r="AD6" s="8" t="inlineStr">
        <is>
          <t>S</t>
        </is>
      </c>
      <c r="AE6" s="8" t="inlineStr">
        <is>
          <t>S</t>
        </is>
      </c>
    </row>
    <row r="7">
      <c r="A7" s="8" t="inlineStr">
        <is>
          <t>H1</t>
        </is>
      </c>
      <c r="B7" s="9" t="inlineStr">
        <is>
          <t>Cierre</t>
        </is>
      </c>
      <c r="C7" s="20" t="inlineStr">
        <is>
          <t>Cierre: el momento genera una reacción relevante del cliente</t>
        </is>
      </c>
      <c r="D7" s="9" t="n"/>
      <c r="E7" s="9" t="inlineStr">
        <is>
          <t>Animados / entusiasmados con el cambio</t>
        </is>
      </c>
      <c r="F7" s="8" t="inlineStr">
        <is>
          <t>N</t>
        </is>
      </c>
      <c r="G7" s="9" t="inlineStr">
        <is>
          <t>"Muy rápido el cambio"</t>
        </is>
      </c>
      <c r="H7" s="8" t="inlineStr">
        <is>
          <t>N</t>
        </is>
      </c>
      <c r="I7" s="8" t="n"/>
      <c r="J7" s="8" t="inlineStr">
        <is>
          <t>N</t>
        </is>
      </c>
      <c r="K7" s="18" t="inlineStr">
        <is>
          <t>N</t>
        </is>
      </c>
      <c r="L7" s="8" t="inlineStr">
        <is>
          <t>N</t>
        </is>
      </c>
      <c r="M7" s="8" t="inlineStr">
        <is>
          <t>N</t>
        </is>
      </c>
      <c r="N7" s="8" t="inlineStr">
        <is>
          <t>N</t>
        </is>
      </c>
      <c r="O7" s="8" t="inlineStr">
        <is>
          <t>N</t>
        </is>
      </c>
      <c r="P7" s="8" t="inlineStr">
        <is>
          <t>N</t>
        </is>
      </c>
      <c r="Q7" s="8" t="inlineStr">
        <is>
          <t>N</t>
        </is>
      </c>
      <c r="R7" s="8" t="inlineStr">
        <is>
          <t>N</t>
        </is>
      </c>
      <c r="S7" s="18" t="inlineStr">
        <is>
          <t>N</t>
        </is>
      </c>
      <c r="T7" s="9" t="inlineStr">
        <is>
          <t>"Ustedes fueron muy amables..."</t>
        </is>
      </c>
      <c r="U7" s="8" t="inlineStr">
        <is>
          <t>N</t>
        </is>
      </c>
      <c r="V7" s="8" t="inlineStr">
        <is>
          <t>N</t>
        </is>
      </c>
      <c r="W7" s="8" t="inlineStr">
        <is>
          <t>N</t>
        </is>
      </c>
      <c r="X7" s="8" t="inlineStr">
        <is>
          <t>N</t>
        </is>
      </c>
      <c r="Y7" s="8" t="inlineStr">
        <is>
          <t>N</t>
        </is>
      </c>
      <c r="Z7" s="8" t="inlineStr">
        <is>
          <t>N</t>
        </is>
      </c>
      <c r="AA7" s="8" t="inlineStr">
        <is>
          <t>N</t>
        </is>
      </c>
      <c r="AB7" s="8" t="inlineStr">
        <is>
          <t>N</t>
        </is>
      </c>
      <c r="AC7" s="8" t="inlineStr">
        <is>
          <t>N</t>
        </is>
      </c>
      <c r="AD7" s="8" t="inlineStr">
        <is>
          <t>N</t>
        </is>
      </c>
      <c r="AE7" s="8" t="inlineStr">
        <is>
          <t>N</t>
        </is>
      </c>
    </row>
    <row r="8" ht="28" customHeight="1">
      <c r="A8" s="7" t="inlineStr">
        <is>
          <t>H2. La experiencia del cliente depende en gran medida de la capacidad del técnico para explicar beneficios, funcionamiento y pasos de la instalación.</t>
        </is>
      </c>
    </row>
    <row r="9">
      <c r="A9" s="8" t="inlineStr">
        <is>
          <t>H2</t>
        </is>
      </c>
      <c r="B9" s="9" t="inlineStr">
        <is>
          <t>Ante preguntas: responde correctamente y de manera completa</t>
        </is>
      </c>
      <c r="C9" s="9" t="inlineStr">
        <is>
          <t>Ante preguntas: responde correctamente y de manera completa</t>
        </is>
      </c>
      <c r="D9" s="9" t="n"/>
      <c r="E9" s="8" t="inlineStr">
        <is>
          <t>S</t>
        </is>
      </c>
      <c r="F9" s="8" t="inlineStr">
        <is>
          <t>S</t>
        </is>
      </c>
      <c r="G9" s="8" t="inlineStr">
        <is>
          <t>S</t>
        </is>
      </c>
      <c r="H9" s="8" t="inlineStr">
        <is>
          <t>S</t>
        </is>
      </c>
      <c r="I9" s="8" t="inlineStr">
        <is>
          <t>S</t>
        </is>
      </c>
      <c r="J9" s="8" t="inlineStr">
        <is>
          <t>S</t>
        </is>
      </c>
      <c r="K9" s="18" t="inlineStr">
        <is>
          <t>S</t>
        </is>
      </c>
      <c r="L9" s="8" t="inlineStr">
        <is>
          <t>S</t>
        </is>
      </c>
      <c r="M9" s="8" t="inlineStr">
        <is>
          <t>S</t>
        </is>
      </c>
      <c r="N9" s="8" t="inlineStr">
        <is>
          <t>S</t>
        </is>
      </c>
      <c r="O9" s="8" t="inlineStr">
        <is>
          <t>S</t>
        </is>
      </c>
      <c r="P9" s="8" t="inlineStr">
        <is>
          <t>S</t>
        </is>
      </c>
      <c r="Q9" s="8" t="inlineStr">
        <is>
          <t>S</t>
        </is>
      </c>
      <c r="R9" s="8" t="inlineStr">
        <is>
          <t>S</t>
        </is>
      </c>
      <c r="S9" s="18" t="inlineStr">
        <is>
          <t>S</t>
        </is>
      </c>
      <c r="T9" s="8" t="inlineStr">
        <is>
          <t>S</t>
        </is>
      </c>
      <c r="U9" s="8" t="inlineStr">
        <is>
          <t>S</t>
        </is>
      </c>
      <c r="V9" s="8" t="inlineStr">
        <is>
          <t>S</t>
        </is>
      </c>
      <c r="W9" s="8" t="inlineStr">
        <is>
          <t>S</t>
        </is>
      </c>
      <c r="X9" s="8" t="inlineStr">
        <is>
          <t>S</t>
        </is>
      </c>
      <c r="Y9" s="8" t="inlineStr">
        <is>
          <t>S</t>
        </is>
      </c>
      <c r="Z9" s="8" t="inlineStr">
        <is>
          <t>S</t>
        </is>
      </c>
      <c r="AA9" s="8" t="inlineStr">
        <is>
          <t>S</t>
        </is>
      </c>
      <c r="AB9" s="8" t="inlineStr">
        <is>
          <t>S</t>
        </is>
      </c>
      <c r="AC9" s="8" t="inlineStr">
        <is>
          <t>S</t>
        </is>
      </c>
      <c r="AD9" s="8" t="inlineStr">
        <is>
          <t>S</t>
        </is>
      </c>
      <c r="AE9" s="8" t="inlineStr">
        <is>
          <t>S</t>
        </is>
      </c>
    </row>
    <row r="10">
      <c r="A10" s="8" t="inlineStr">
        <is>
          <t>H2</t>
        </is>
      </c>
      <c r="B10" s="9" t="inlineStr">
        <is>
          <t>Ante preguntas reiteradas sobre el mismo tema, reformula y adapta su lenguaje</t>
        </is>
      </c>
      <c r="C10" s="9" t="inlineStr">
        <is>
          <t>Ante preguntas reiteradas sobre el mismo tema, reformula y adapta su lenguaje</t>
        </is>
      </c>
      <c r="D10" s="9" t="n"/>
      <c r="E10" s="8" t="inlineStr">
        <is>
          <t>S</t>
        </is>
      </c>
      <c r="F10" s="8" t="inlineStr">
        <is>
          <t>S</t>
        </is>
      </c>
      <c r="G10" s="8" t="inlineStr">
        <is>
          <t>S</t>
        </is>
      </c>
      <c r="H10" s="8" t="inlineStr">
        <is>
          <t>N/A</t>
        </is>
      </c>
      <c r="I10" s="8" t="inlineStr">
        <is>
          <t>S</t>
        </is>
      </c>
      <c r="J10" s="8" t="inlineStr">
        <is>
          <t>S</t>
        </is>
      </c>
      <c r="K10" s="18" t="inlineStr">
        <is>
          <t>S</t>
        </is>
      </c>
      <c r="L10" s="8" t="inlineStr">
        <is>
          <t>N/A</t>
        </is>
      </c>
      <c r="M10" s="8" t="inlineStr">
        <is>
          <t>S</t>
        </is>
      </c>
      <c r="N10" s="8" t="inlineStr">
        <is>
          <t>N/A</t>
        </is>
      </c>
      <c r="O10" s="8" t="inlineStr">
        <is>
          <t>N/A</t>
        </is>
      </c>
      <c r="P10" s="8" t="inlineStr">
        <is>
          <t>N/A</t>
        </is>
      </c>
      <c r="Q10" s="8" t="inlineStr">
        <is>
          <t>S</t>
        </is>
      </c>
      <c r="R10" s="8" t="inlineStr">
        <is>
          <t>S</t>
        </is>
      </c>
      <c r="S10" s="18" t="inlineStr">
        <is>
          <t>S</t>
        </is>
      </c>
      <c r="T10" s="8" t="inlineStr">
        <is>
          <t>S</t>
        </is>
      </c>
      <c r="U10" s="8" t="inlineStr">
        <is>
          <t>N/A</t>
        </is>
      </c>
      <c r="V10" s="8" t="inlineStr">
        <is>
          <t>N/A</t>
        </is>
      </c>
      <c r="W10" s="8" t="inlineStr">
        <is>
          <t>N/A</t>
        </is>
      </c>
      <c r="X10" s="8" t="inlineStr">
        <is>
          <t>N/A</t>
        </is>
      </c>
      <c r="Y10" s="8" t="inlineStr">
        <is>
          <t>N/A</t>
        </is>
      </c>
      <c r="Z10" s="8" t="inlineStr">
        <is>
          <t>N/A</t>
        </is>
      </c>
      <c r="AA10" s="8" t="inlineStr">
        <is>
          <t>S</t>
        </is>
      </c>
      <c r="AB10" s="8" t="inlineStr">
        <is>
          <t>N/A</t>
        </is>
      </c>
      <c r="AC10" s="8" t="inlineStr">
        <is>
          <t>N/A</t>
        </is>
      </c>
      <c r="AD10" s="8" t="inlineStr">
        <is>
          <t>N/A</t>
        </is>
      </c>
      <c r="AE10" s="8" t="inlineStr">
        <is>
          <t>N/A</t>
        </is>
      </c>
    </row>
    <row r="11">
      <c r="A11" s="8" t="inlineStr">
        <is>
          <t>H2</t>
        </is>
      </c>
      <c r="B11" s="9" t="inlineStr">
        <is>
          <t>Explicaciones claras, correctas y completas</t>
        </is>
      </c>
      <c r="C11" s="9" t="inlineStr">
        <is>
          <t>Explicaciones claras, correctas y completas</t>
        </is>
      </c>
      <c r="D11" s="9" t="n"/>
      <c r="E11" s="9" t="inlineStr">
        <is>
          <t>No explicó botón de Guía</t>
        </is>
      </c>
      <c r="F11" s="9" t="inlineStr">
        <is>
          <t>No explicó botón de Guía</t>
        </is>
      </c>
      <c r="G11" s="9" t="inlineStr">
        <is>
          <t>No explicó botón de Guía</t>
        </is>
      </c>
      <c r="H11" s="9" t="inlineStr">
        <is>
          <t>No explicó botón de Guía</t>
        </is>
      </c>
      <c r="I11" s="8" t="inlineStr">
        <is>
          <t>S</t>
        </is>
      </c>
      <c r="J11" s="9" t="inlineStr">
        <is>
          <t>No explicó botón de Guía</t>
        </is>
      </c>
      <c r="K11" s="23" t="inlineStr">
        <is>
          <t>No explicó botón de Guía</t>
        </is>
      </c>
      <c r="L11" s="9" t="inlineStr">
        <is>
          <t>No explicó botón de Guía</t>
        </is>
      </c>
      <c r="M11" s="9" t="inlineStr">
        <is>
          <t>Sí: Guía, Google, Android, menú</t>
        </is>
      </c>
      <c r="N11" s="9" t="inlineStr">
        <is>
          <t>No explicó botón de Guía / Menú / Apps</t>
        </is>
      </c>
      <c r="O11" s="9" t="inlineStr">
        <is>
          <t>No explicó botón de Guía... Tiene Netflix, es más rápido...</t>
        </is>
      </c>
      <c r="P11" s="9" t="inlineStr">
        <is>
          <t>No explicó botón de Guía / Menú / Apps</t>
        </is>
      </c>
      <c r="Q11" s="9" t="inlineStr">
        <is>
          <t>No explicó botón de Guía</t>
        </is>
      </c>
      <c r="R11" s="9" t="inlineStr">
        <is>
          <t>No explicó botón de Guía</t>
        </is>
      </c>
      <c r="S11" s="23" t="inlineStr">
        <is>
          <t>No explicó botón de Guía</t>
        </is>
      </c>
      <c r="T11" s="9" t="inlineStr">
        <is>
          <t>No explicó botón de Guía</t>
        </is>
      </c>
      <c r="U11" s="9" t="inlineStr">
        <is>
          <t>Se le explica que la casa (Home) es reemplazada por el círculo</t>
        </is>
      </c>
      <c r="V11" s="9" t="inlineStr">
        <is>
          <t>No explicó botón de Guía</t>
        </is>
      </c>
      <c r="W11" s="9" t="inlineStr">
        <is>
          <t>No explicó botón de Guía</t>
        </is>
      </c>
      <c r="X11" s="9" t="inlineStr">
        <is>
          <t>No explicó botón de Guía</t>
        </is>
      </c>
      <c r="Y11" s="9" t="inlineStr">
        <is>
          <t>No explicó botón de Guía</t>
        </is>
      </c>
      <c r="Z11" s="9" t="inlineStr">
        <is>
          <t>No explicó botón de Guía</t>
        </is>
      </c>
      <c r="AA11" s="9" t="inlineStr">
        <is>
          <t>No explicó botón de Guía</t>
        </is>
      </c>
      <c r="AB11" s="9" t="inlineStr">
        <is>
          <t>No explicó botón de Guía</t>
        </is>
      </c>
      <c r="AC11" s="9" t="inlineStr">
        <is>
          <t>No explicó botón de Guía</t>
        </is>
      </c>
      <c r="AD11" s="9" t="inlineStr">
        <is>
          <t>No explicó botón de Guía</t>
        </is>
      </c>
      <c r="AE11" s="9" t="inlineStr">
        <is>
          <t>No explicó botón de Guía</t>
        </is>
      </c>
    </row>
    <row r="12">
      <c r="A12" s="8" t="inlineStr">
        <is>
          <t>H2</t>
        </is>
      </c>
      <c r="B12" s="9" t="inlineStr">
        <is>
          <t>Demuestra empatía y contención</t>
        </is>
      </c>
      <c r="C12" s="9" t="inlineStr">
        <is>
          <t>Demuestra empatía y contención</t>
        </is>
      </c>
      <c r="D12" s="9" t="n"/>
      <c r="E12" s="8" t="inlineStr">
        <is>
          <t>S</t>
        </is>
      </c>
      <c r="F12" s="8" t="inlineStr">
        <is>
          <t>S</t>
        </is>
      </c>
      <c r="G12" s="8" t="inlineStr">
        <is>
          <t>S</t>
        </is>
      </c>
      <c r="H12" s="8" t="inlineStr">
        <is>
          <t>S</t>
        </is>
      </c>
      <c r="I12" s="9" t="inlineStr">
        <is>
          <t>Sí, aunque el cliente se mostró sumamente escéptico</t>
        </is>
      </c>
      <c r="J12" s="8" t="inlineStr">
        <is>
          <t>S</t>
        </is>
      </c>
      <c r="K12" s="18" t="inlineStr">
        <is>
          <t>S</t>
        </is>
      </c>
      <c r="L12" s="8" t="inlineStr">
        <is>
          <t>S</t>
        </is>
      </c>
      <c r="M12" s="8" t="inlineStr">
        <is>
          <t>S</t>
        </is>
      </c>
      <c r="N12" s="8" t="inlineStr">
        <is>
          <t>S</t>
        </is>
      </c>
      <c r="O12" s="8" t="inlineStr">
        <is>
          <t>S</t>
        </is>
      </c>
      <c r="P12" s="8" t="inlineStr">
        <is>
          <t>S</t>
        </is>
      </c>
      <c r="Q12" s="8" t="inlineStr">
        <is>
          <t>S</t>
        </is>
      </c>
      <c r="R12" s="8" t="inlineStr">
        <is>
          <t>S</t>
        </is>
      </c>
      <c r="S12" s="18" t="inlineStr">
        <is>
          <t>S</t>
        </is>
      </c>
      <c r="T12" s="8" t="inlineStr">
        <is>
          <t>S</t>
        </is>
      </c>
      <c r="U12" s="8" t="inlineStr">
        <is>
          <t>S</t>
        </is>
      </c>
      <c r="V12" s="8" t="inlineStr">
        <is>
          <t>S</t>
        </is>
      </c>
      <c r="W12" s="8" t="inlineStr">
        <is>
          <t>S</t>
        </is>
      </c>
      <c r="X12" s="8" t="inlineStr">
        <is>
          <t>S</t>
        </is>
      </c>
      <c r="Y12" s="8" t="inlineStr">
        <is>
          <t>S</t>
        </is>
      </c>
      <c r="Z12" s="8" t="inlineStr">
        <is>
          <t>S</t>
        </is>
      </c>
      <c r="AA12" s="8" t="inlineStr">
        <is>
          <t>S</t>
        </is>
      </c>
      <c r="AB12" s="8" t="inlineStr">
        <is>
          <t>S</t>
        </is>
      </c>
      <c r="AC12" s="8" t="inlineStr">
        <is>
          <t>S</t>
        </is>
      </c>
      <c r="AD12" s="8" t="inlineStr">
        <is>
          <t>S</t>
        </is>
      </c>
      <c r="AE12" s="8" t="inlineStr">
        <is>
          <t>S</t>
        </is>
      </c>
    </row>
    <row r="13" ht="28" customHeight="1">
      <c r="A13" s="7" t="inlineStr">
        <is>
          <t>H3. Existen barreras operativas y administrativas que afectan la fluidez de la instalación.</t>
        </is>
      </c>
    </row>
    <row r="14">
      <c r="A14" s="8" t="inlineStr">
        <is>
          <t>H3</t>
        </is>
      </c>
      <c r="B14" s="9" t="inlineStr">
        <is>
          <t>Minutos de visita en domicilio</t>
        </is>
      </c>
      <c r="C14" s="9" t="inlineStr">
        <is>
          <t>Minutos de visita en domicilio</t>
        </is>
      </c>
      <c r="D14" s="9" t="n"/>
      <c r="E14" s="8" t="n">
        <v>25</v>
      </c>
      <c r="F14" s="8" t="n">
        <v>15</v>
      </c>
      <c r="G14" s="8" t="n">
        <v>20</v>
      </c>
      <c r="H14" s="8" t="n">
        <v>20</v>
      </c>
      <c r="I14" s="8" t="n">
        <v>20</v>
      </c>
      <c r="J14" s="8" t="n">
        <v>20</v>
      </c>
      <c r="K14" s="18" t="n">
        <v>15</v>
      </c>
      <c r="L14" s="8" t="n">
        <v>20</v>
      </c>
      <c r="M14" s="8" t="n">
        <v>15</v>
      </c>
      <c r="N14" s="8" t="n">
        <v>20</v>
      </c>
      <c r="O14" s="8" t="n">
        <v>30</v>
      </c>
      <c r="P14" s="8" t="n">
        <v>15</v>
      </c>
      <c r="Q14" s="8" t="n">
        <v>25</v>
      </c>
      <c r="R14" s="8" t="n">
        <v>15</v>
      </c>
      <c r="S14" s="18" t="n">
        <v>15</v>
      </c>
      <c r="T14" s="8" t="n">
        <v>15</v>
      </c>
      <c r="U14" s="8" t="n">
        <v>15</v>
      </c>
      <c r="V14" s="8" t="n">
        <v>15</v>
      </c>
      <c r="W14" s="8" t="n">
        <v>15</v>
      </c>
      <c r="X14" s="8" t="n">
        <v>15</v>
      </c>
      <c r="Y14" s="8" t="n">
        <v>15</v>
      </c>
      <c r="Z14" s="8" t="n">
        <v>20</v>
      </c>
      <c r="AA14" s="8" t="n">
        <v>15</v>
      </c>
      <c r="AB14" s="8" t="n">
        <v>15</v>
      </c>
      <c r="AC14" s="8" t="n">
        <v>25</v>
      </c>
      <c r="AD14" s="8" t="n">
        <v>15</v>
      </c>
      <c r="AE14" s="8" t="n">
        <v>15</v>
      </c>
    </row>
    <row r="15">
      <c r="A15" s="8" t="inlineStr">
        <is>
          <t>H3</t>
        </is>
      </c>
      <c r="B15" s="9" t="inlineStr">
        <is>
          <t>¿El técnico necesitó reintentar la instalación?</t>
        </is>
      </c>
      <c r="C15" s="9" t="inlineStr">
        <is>
          <t>¿El técnico necesitó reintentar la instalación?</t>
        </is>
      </c>
      <c r="D15" s="9" t="n"/>
      <c r="E15" s="8" t="inlineStr">
        <is>
          <t>N</t>
        </is>
      </c>
      <c r="F15" s="8" t="inlineStr">
        <is>
          <t>N</t>
        </is>
      </c>
      <c r="G15" s="8" t="inlineStr">
        <is>
          <t>N</t>
        </is>
      </c>
      <c r="H15" s="8" t="inlineStr">
        <is>
          <t>N</t>
        </is>
      </c>
      <c r="I15" s="8" t="inlineStr">
        <is>
          <t>N</t>
        </is>
      </c>
      <c r="J15" s="8" t="inlineStr">
        <is>
          <t>N</t>
        </is>
      </c>
      <c r="K15" s="18" t="inlineStr">
        <is>
          <t>N</t>
        </is>
      </c>
      <c r="L15" s="8" t="inlineStr">
        <is>
          <t>N</t>
        </is>
      </c>
      <c r="M15" s="8" t="inlineStr">
        <is>
          <t>N</t>
        </is>
      </c>
      <c r="N15" s="8" t="inlineStr">
        <is>
          <t>N</t>
        </is>
      </c>
      <c r="O15" s="8" t="inlineStr">
        <is>
          <t>N/A</t>
        </is>
      </c>
      <c r="P15" s="8" t="inlineStr">
        <is>
          <t>N</t>
        </is>
      </c>
      <c r="Q15" s="8" t="inlineStr">
        <is>
          <t>N</t>
        </is>
      </c>
      <c r="R15" s="8" t="inlineStr">
        <is>
          <t>N</t>
        </is>
      </c>
      <c r="S15" s="18" t="inlineStr">
        <is>
          <t>N</t>
        </is>
      </c>
      <c r="T15" s="8" t="inlineStr">
        <is>
          <t>N</t>
        </is>
      </c>
      <c r="U15" s="8" t="inlineStr">
        <is>
          <t>N</t>
        </is>
      </c>
      <c r="V15" s="8" t="inlineStr">
        <is>
          <t>N</t>
        </is>
      </c>
      <c r="W15" s="8" t="inlineStr">
        <is>
          <t>N</t>
        </is>
      </c>
      <c r="X15" s="8" t="inlineStr">
        <is>
          <t>N</t>
        </is>
      </c>
      <c r="Y15" s="8" t="inlineStr">
        <is>
          <t>N</t>
        </is>
      </c>
      <c r="Z15" s="8" t="inlineStr">
        <is>
          <t>N</t>
        </is>
      </c>
      <c r="AA15" s="8" t="inlineStr">
        <is>
          <t>N</t>
        </is>
      </c>
      <c r="AB15" s="8" t="inlineStr">
        <is>
          <t>N</t>
        </is>
      </c>
      <c r="AC15" s="8" t="inlineStr">
        <is>
          <t>N</t>
        </is>
      </c>
      <c r="AD15" s="8" t="inlineStr">
        <is>
          <t>N</t>
        </is>
      </c>
      <c r="AE15" s="8" t="inlineStr">
        <is>
          <t>N</t>
        </is>
      </c>
    </row>
    <row r="16">
      <c r="A16" s="8" t="inlineStr">
        <is>
          <t>H3</t>
        </is>
      </c>
      <c r="B16" s="9" t="inlineStr">
        <is>
          <t>¿El técnico necesitó pedir soporte técnico durante la visita?</t>
        </is>
      </c>
      <c r="C16" s="9" t="inlineStr">
        <is>
          <t>¿El técnico necesitó pedir soporte técnico durante la visita?</t>
        </is>
      </c>
      <c r="D16" s="9" t="n"/>
      <c r="E16" s="8" t="inlineStr">
        <is>
          <t>N</t>
        </is>
      </c>
      <c r="F16" s="8" t="inlineStr">
        <is>
          <t>N</t>
        </is>
      </c>
      <c r="G16" s="8" t="inlineStr">
        <is>
          <t>N</t>
        </is>
      </c>
      <c r="H16" s="8" t="inlineStr">
        <is>
          <t>N</t>
        </is>
      </c>
      <c r="I16" s="8" t="inlineStr">
        <is>
          <t>N</t>
        </is>
      </c>
      <c r="J16" s="8" t="inlineStr">
        <is>
          <t>N</t>
        </is>
      </c>
      <c r="K16" s="18" t="inlineStr">
        <is>
          <t>N</t>
        </is>
      </c>
      <c r="L16" s="8" t="inlineStr">
        <is>
          <t>N</t>
        </is>
      </c>
      <c r="M16" s="8" t="inlineStr">
        <is>
          <t>N</t>
        </is>
      </c>
      <c r="N16" s="8" t="inlineStr">
        <is>
          <t>N</t>
        </is>
      </c>
      <c r="O16" s="8" t="inlineStr">
        <is>
          <t>N</t>
        </is>
      </c>
      <c r="P16" s="8" t="inlineStr">
        <is>
          <t>N</t>
        </is>
      </c>
      <c r="Q16" s="8" t="inlineStr">
        <is>
          <t>N</t>
        </is>
      </c>
      <c r="R16" s="8" t="inlineStr">
        <is>
          <t>N</t>
        </is>
      </c>
      <c r="S16" s="18" t="inlineStr">
        <is>
          <t>N</t>
        </is>
      </c>
      <c r="T16" s="8" t="inlineStr">
        <is>
          <t>N</t>
        </is>
      </c>
      <c r="U16" s="8" t="inlineStr">
        <is>
          <t>N</t>
        </is>
      </c>
      <c r="V16" s="8" t="inlineStr">
        <is>
          <t>N</t>
        </is>
      </c>
      <c r="W16" s="8" t="inlineStr">
        <is>
          <t>N</t>
        </is>
      </c>
      <c r="X16" s="8" t="inlineStr">
        <is>
          <t>N</t>
        </is>
      </c>
      <c r="Y16" s="8" t="inlineStr">
        <is>
          <t>N</t>
        </is>
      </c>
      <c r="Z16" s="8" t="inlineStr">
        <is>
          <t>N</t>
        </is>
      </c>
      <c r="AA16" s="8" t="inlineStr">
        <is>
          <t>N</t>
        </is>
      </c>
      <c r="AB16" s="8" t="inlineStr">
        <is>
          <t>N</t>
        </is>
      </c>
      <c r="AC16" s="8" t="inlineStr">
        <is>
          <t>N</t>
        </is>
      </c>
      <c r="AD16" s="8" t="inlineStr">
        <is>
          <t>N</t>
        </is>
      </c>
      <c r="AE16" s="8" t="inlineStr">
        <is>
          <t>N</t>
        </is>
      </c>
    </row>
    <row r="17">
      <c r="A17" s="8" t="inlineStr">
        <is>
          <t>H3</t>
        </is>
      </c>
      <c r="B17" s="9" t="inlineStr">
        <is>
          <t>¿El técnico necesitó gestionar aspectos administrativos durante la visita?</t>
        </is>
      </c>
      <c r="C17" s="9" t="inlineStr">
        <is>
          <t>¿El técnico necesitó gestionar aspectos administrativos durante la visita?</t>
        </is>
      </c>
      <c r="D17" s="9" t="n"/>
      <c r="E17" s="9" t="inlineStr">
        <is>
          <t>Lo habitual (conciliación, vista del perfil, retiro de equipos viejos)</t>
        </is>
      </c>
      <c r="F17" s="9" t="inlineStr">
        <is>
          <t>Lo habitual (conciliación, vista del perfil, retiro de equipos viejos)</t>
        </is>
      </c>
      <c r="G17" s="9" t="inlineStr">
        <is>
          <t>Lo habitual (conciliación, vista del perfil, retiro de equipos viejos)</t>
        </is>
      </c>
      <c r="H17" s="9" t="inlineStr">
        <is>
          <t>Lo habitual (conciliación, vista del perfil, retiro de equipos viejos)</t>
        </is>
      </c>
      <c r="I17" s="9" t="inlineStr">
        <is>
          <t>Lo habitual (conciliación, vista del perfil, retiro de equipos viejos)</t>
        </is>
      </c>
      <c r="J17" s="9" t="inlineStr">
        <is>
          <t>Lo habitual (conciliación, vista del perfil, retiro de equipos viejos)</t>
        </is>
      </c>
      <c r="K17" s="23" t="inlineStr">
        <is>
          <t>Lo habitual (conciliación, vista del perfil, retiro de equipos viejos)</t>
        </is>
      </c>
      <c r="L17" s="9" t="inlineStr">
        <is>
          <t>Lo habitual (conciliación, vista del perfil, retiro de equipos viejos)</t>
        </is>
      </c>
      <c r="M17" s="9" t="inlineStr">
        <is>
          <t>Lo habitual (conciliación, vista del perfil, retiro de equipos viejos)</t>
        </is>
      </c>
      <c r="N17" s="9" t="inlineStr">
        <is>
          <t>Lo habitual (conciliación, vista del perfil, retiro de equipos viejos)</t>
        </is>
      </c>
      <c r="O17" s="9" t="inlineStr">
        <is>
          <t>Lo habitual (conciliación, vista del perfil, retiro de equipos viejos)</t>
        </is>
      </c>
      <c r="P17" s="9" t="inlineStr">
        <is>
          <t>Lo habitual (conciliación, vista del perfil, retiro de equipos viejos)</t>
        </is>
      </c>
      <c r="Q17" s="9" t="inlineStr">
        <is>
          <t>Lo habitual (conciliación, vista del perfil, retiro de equipos viejos)</t>
        </is>
      </c>
      <c r="R17" s="9" t="inlineStr">
        <is>
          <t>Lo habitual (conciliación, vista del perfil, retiro de equipos viejos)</t>
        </is>
      </c>
      <c r="S17" s="23" t="inlineStr">
        <is>
          <t>Lo habitual (conciliación, vista del perfil, retiro de equipos viejos)</t>
        </is>
      </c>
      <c r="T17" s="9" t="inlineStr">
        <is>
          <t>Lo habitual (conciliación, vista del perfil, retiro de equipos viejos)</t>
        </is>
      </c>
      <c r="U17" s="9" t="inlineStr">
        <is>
          <t>Lo habitual (conciliación, vista del perfil, retiro de equipos viejos)</t>
        </is>
      </c>
      <c r="V17" s="9" t="inlineStr">
        <is>
          <t>Lo habitual (conciliación, vista del perfil, retiro de equipos viejos)</t>
        </is>
      </c>
      <c r="W17" s="9" t="inlineStr">
        <is>
          <t>Lo habitual (conciliación, vista del perfil, retiro de equipos viejos)</t>
        </is>
      </c>
      <c r="X17" s="9" t="inlineStr">
        <is>
          <t>Lo habitual (conciliación, vista del perfil, retiro de equipos viejos)</t>
        </is>
      </c>
      <c r="Y17" s="9" t="inlineStr">
        <is>
          <t>Lo habitual (conciliación, vista del perfil, retiro de equipos viejos)</t>
        </is>
      </c>
      <c r="Z17" s="9" t="inlineStr">
        <is>
          <t>Lo habitual (conciliación, vista del perfil, retiro de equipos viejos)</t>
        </is>
      </c>
      <c r="AA17" s="9" t="inlineStr">
        <is>
          <t>Lo habitual (conciliación, vista del perfil, retiro de equipos viejos)</t>
        </is>
      </c>
      <c r="AB17" s="9" t="inlineStr">
        <is>
          <t>Lo habitual (conciliación, vista del perfil, retiro de equipos viejos)</t>
        </is>
      </c>
      <c r="AC17" s="9" t="inlineStr">
        <is>
          <t>Lo habitual (conciliación, vista del perfil, retiro de equipos viejos)</t>
        </is>
      </c>
      <c r="AD17" s="9" t="inlineStr">
        <is>
          <t>Lo habitual (conciliación, vista del perfil, retiro de equipos viejos)</t>
        </is>
      </c>
      <c r="AE17" s="9" t="inlineStr">
        <is>
          <t>Lo habitual (conciliación, vista del perfil, retiro de equipos viejos)</t>
        </is>
      </c>
    </row>
    <row r="18">
      <c r="A18" s="8" t="inlineStr">
        <is>
          <t>H3</t>
        </is>
      </c>
      <c r="B18" s="9" t="inlineStr">
        <is>
          <t>¿El cliente reclama el reemplazo de decos no declarados?</t>
        </is>
      </c>
      <c r="C18" s="9" t="inlineStr">
        <is>
          <t>¿El cliente reclama el reemplazo de decos no declarados?</t>
        </is>
      </c>
      <c r="D18" s="9" t="n"/>
      <c r="E18" s="8" t="inlineStr">
        <is>
          <t>N</t>
        </is>
      </c>
      <c r="F18" s="8" t="inlineStr">
        <is>
          <t>N</t>
        </is>
      </c>
      <c r="G18" s="8" t="inlineStr">
        <is>
          <t>N</t>
        </is>
      </c>
      <c r="H18" s="8" t="inlineStr">
        <is>
          <t>N</t>
        </is>
      </c>
      <c r="I18" s="9" t="inlineStr">
        <is>
          <t>Sí, se explicó que debía gestionarlo normalmente al 3er deco; dejamos 2</t>
        </is>
      </c>
      <c r="J18" s="8" t="inlineStr">
        <is>
          <t>N</t>
        </is>
      </c>
      <c r="K18" s="18" t="inlineStr">
        <is>
          <t>N</t>
        </is>
      </c>
      <c r="L18" s="8" t="inlineStr">
        <is>
          <t>N</t>
        </is>
      </c>
      <c r="M18" s="8" t="inlineStr">
        <is>
          <t>N</t>
        </is>
      </c>
      <c r="N18" s="8" t="inlineStr">
        <is>
          <t>N</t>
        </is>
      </c>
      <c r="O18" s="8" t="inlineStr">
        <is>
          <t>N</t>
        </is>
      </c>
      <c r="P18" s="8" t="inlineStr">
        <is>
          <t>N</t>
        </is>
      </c>
      <c r="Q18" s="8" t="inlineStr">
        <is>
          <t>N</t>
        </is>
      </c>
      <c r="R18" s="8" t="inlineStr">
        <is>
          <t>N</t>
        </is>
      </c>
      <c r="S18" s="18" t="inlineStr">
        <is>
          <t>N/A</t>
        </is>
      </c>
      <c r="T18" s="8" t="inlineStr">
        <is>
          <t>N</t>
        </is>
      </c>
      <c r="U18" s="8" t="inlineStr">
        <is>
          <t>N</t>
        </is>
      </c>
      <c r="V18" s="8" t="inlineStr">
        <is>
          <t>N</t>
        </is>
      </c>
      <c r="W18" s="8" t="inlineStr">
        <is>
          <t>N</t>
        </is>
      </c>
      <c r="X18" s="8" t="inlineStr">
        <is>
          <t>N</t>
        </is>
      </c>
      <c r="Y18" s="8" t="inlineStr">
        <is>
          <t>N</t>
        </is>
      </c>
      <c r="Z18" s="8" t="inlineStr">
        <is>
          <t>N</t>
        </is>
      </c>
      <c r="AA18" s="8" t="inlineStr">
        <is>
          <t>N</t>
        </is>
      </c>
      <c r="AB18" s="8" t="inlineStr">
        <is>
          <t>N</t>
        </is>
      </c>
      <c r="AC18" s="8" t="inlineStr">
        <is>
          <t>N</t>
        </is>
      </c>
      <c r="AD18" s="8" t="inlineStr">
        <is>
          <t>N</t>
        </is>
      </c>
      <c r="AE18" s="8" t="inlineStr">
        <is>
          <t>N</t>
        </is>
      </c>
    </row>
    <row r="19">
      <c r="A19" s="8" t="inlineStr">
        <is>
          <t>H3</t>
        </is>
      </c>
      <c r="B19" s="9" t="inlineStr">
        <is>
          <t>¿El dispositivo se reconoce inmediatamente?</t>
        </is>
      </c>
      <c r="C19" s="9" t="inlineStr">
        <is>
          <t>¿El dispositivo se reconoce inmediatamente?</t>
        </is>
      </c>
      <c r="D19" s="9" t="n"/>
      <c r="E19" s="8" t="inlineStr">
        <is>
          <t>S</t>
        </is>
      </c>
      <c r="F19" s="8" t="inlineStr">
        <is>
          <t>S</t>
        </is>
      </c>
      <c r="G19" s="9" t="inlineStr">
        <is>
          <t>No, error en HDMI</t>
        </is>
      </c>
      <c r="H19" s="8" t="inlineStr">
        <is>
          <t>S</t>
        </is>
      </c>
      <c r="I19" s="8" t="inlineStr">
        <is>
          <t>S</t>
        </is>
      </c>
      <c r="J19" s="8" t="inlineStr">
        <is>
          <t>S</t>
        </is>
      </c>
      <c r="K19" s="18" t="inlineStr">
        <is>
          <t>S</t>
        </is>
      </c>
      <c r="L19" s="8" t="inlineStr">
        <is>
          <t>S</t>
        </is>
      </c>
      <c r="M19" s="8" t="inlineStr">
        <is>
          <t>S</t>
        </is>
      </c>
      <c r="N19" s="8" t="inlineStr">
        <is>
          <t>S</t>
        </is>
      </c>
      <c r="O19" s="8" t="inlineStr">
        <is>
          <t>S</t>
        </is>
      </c>
      <c r="P19" s="8" t="inlineStr">
        <is>
          <t>S</t>
        </is>
      </c>
      <c r="Q19" s="8" t="inlineStr">
        <is>
          <t>S</t>
        </is>
      </c>
      <c r="R19" s="8" t="inlineStr">
        <is>
          <t>S</t>
        </is>
      </c>
      <c r="S19" s="18" t="inlineStr">
        <is>
          <t>S</t>
        </is>
      </c>
      <c r="T19" s="8" t="inlineStr">
        <is>
          <t>S</t>
        </is>
      </c>
      <c r="U19" s="8" t="inlineStr">
        <is>
          <t>S</t>
        </is>
      </c>
      <c r="V19" s="8" t="inlineStr">
        <is>
          <t>S</t>
        </is>
      </c>
      <c r="W19" s="8" t="inlineStr">
        <is>
          <t>S</t>
        </is>
      </c>
      <c r="X19" s="8" t="inlineStr">
        <is>
          <t>S</t>
        </is>
      </c>
      <c r="Y19" s="8" t="inlineStr">
        <is>
          <t>S</t>
        </is>
      </c>
      <c r="Z19" s="8" t="inlineStr">
        <is>
          <t>S</t>
        </is>
      </c>
      <c r="AA19" s="9" t="inlineStr">
        <is>
          <t>No le funcionaba el televisor, se tuvo que probar en otros</t>
        </is>
      </c>
      <c r="AB19" s="8" t="inlineStr">
        <is>
          <t>S</t>
        </is>
      </c>
      <c r="AC19" s="8" t="inlineStr">
        <is>
          <t>S</t>
        </is>
      </c>
      <c r="AD19" s="8" t="inlineStr">
        <is>
          <t>S</t>
        </is>
      </c>
      <c r="AE19" s="9" t="inlineStr">
        <is>
          <t>S - No le funcionaba el HDMI; va a comprar un adaptador, se instaló en otro TV</t>
        </is>
      </c>
    </row>
    <row r="20">
      <c r="A20" s="8" t="inlineStr">
        <is>
          <t>H3</t>
        </is>
      </c>
      <c r="B20" s="9" t="inlineStr">
        <is>
          <t>Llevarse los equipos viejos y firmar consentimiento</t>
        </is>
      </c>
      <c r="C20" s="9" t="inlineStr">
        <is>
          <t>Llevarse los equipos viejos y firmar consentimiento</t>
        </is>
      </c>
      <c r="D20" s="9" t="n"/>
      <c r="E20" s="8" t="inlineStr">
        <is>
          <t>S</t>
        </is>
      </c>
      <c r="F20" s="8" t="inlineStr">
        <is>
          <t>S</t>
        </is>
      </c>
      <c r="G20" s="8" t="inlineStr">
        <is>
          <t>S</t>
        </is>
      </c>
      <c r="H20" s="8" t="inlineStr">
        <is>
          <t>S</t>
        </is>
      </c>
      <c r="I20" s="8" t="inlineStr">
        <is>
          <t>S</t>
        </is>
      </c>
      <c r="J20" s="8" t="inlineStr">
        <is>
          <t>S</t>
        </is>
      </c>
      <c r="K20" s="18" t="inlineStr">
        <is>
          <t>N/A</t>
        </is>
      </c>
      <c r="L20" s="8" t="inlineStr">
        <is>
          <t>S</t>
        </is>
      </c>
      <c r="M20" s="8" t="inlineStr">
        <is>
          <t>S</t>
        </is>
      </c>
      <c r="N20" s="8" t="inlineStr">
        <is>
          <t>S</t>
        </is>
      </c>
      <c r="O20" s="8" t="inlineStr">
        <is>
          <t>S</t>
        </is>
      </c>
      <c r="P20" s="8" t="inlineStr">
        <is>
          <t>S</t>
        </is>
      </c>
      <c r="Q20" s="8" t="inlineStr">
        <is>
          <t>S</t>
        </is>
      </c>
      <c r="R20" s="8" t="inlineStr">
        <is>
          <t>S</t>
        </is>
      </c>
      <c r="S20" s="18" t="inlineStr">
        <is>
          <t>N/A</t>
        </is>
      </c>
      <c r="T20" s="8" t="inlineStr">
        <is>
          <t>S</t>
        </is>
      </c>
      <c r="U20" s="8" t="inlineStr">
        <is>
          <t>S</t>
        </is>
      </c>
      <c r="V20" s="8" t="inlineStr">
        <is>
          <t>S</t>
        </is>
      </c>
      <c r="W20" s="8" t="inlineStr">
        <is>
          <t>S</t>
        </is>
      </c>
      <c r="X20" s="8" t="inlineStr">
        <is>
          <t>S</t>
        </is>
      </c>
      <c r="Y20" s="8" t="inlineStr">
        <is>
          <t>S</t>
        </is>
      </c>
      <c r="Z20" s="8" t="inlineStr">
        <is>
          <t>S</t>
        </is>
      </c>
      <c r="AA20" s="8" t="inlineStr">
        <is>
          <t>S</t>
        </is>
      </c>
      <c r="AB20" s="8" t="inlineStr">
        <is>
          <t>S</t>
        </is>
      </c>
      <c r="AC20" s="8" t="inlineStr">
        <is>
          <t>S</t>
        </is>
      </c>
      <c r="AD20" s="8" t="inlineStr">
        <is>
          <t>S</t>
        </is>
      </c>
      <c r="AE20" s="8" t="inlineStr">
        <is>
          <t>S</t>
        </is>
      </c>
    </row>
    <row r="21">
      <c r="A21" s="8" t="inlineStr">
        <is>
          <t>H3</t>
        </is>
      </c>
      <c r="B21" s="9" t="inlineStr">
        <is>
          <t>Confirmar que el perfil del cliente quede activo</t>
        </is>
      </c>
      <c r="C21" s="9" t="inlineStr">
        <is>
          <t>Confirmar que el perfil del cliente quede activo</t>
        </is>
      </c>
      <c r="D21" s="9" t="n"/>
      <c r="E21" s="8" t="inlineStr">
        <is>
          <t>S</t>
        </is>
      </c>
      <c r="F21" s="8" t="inlineStr">
        <is>
          <t>S</t>
        </is>
      </c>
      <c r="G21" s="8" t="inlineStr">
        <is>
          <t>S</t>
        </is>
      </c>
      <c r="H21" s="8" t="inlineStr">
        <is>
          <t>S</t>
        </is>
      </c>
      <c r="I21" s="8" t="inlineStr">
        <is>
          <t>S</t>
        </is>
      </c>
      <c r="J21" s="8" t="inlineStr">
        <is>
          <t>S</t>
        </is>
      </c>
      <c r="K21" s="18" t="inlineStr">
        <is>
          <t>S</t>
        </is>
      </c>
      <c r="L21" s="8" t="inlineStr">
        <is>
          <t>S</t>
        </is>
      </c>
      <c r="M21" s="8" t="inlineStr">
        <is>
          <t>S</t>
        </is>
      </c>
      <c r="N21" s="8" t="inlineStr">
        <is>
          <t>S</t>
        </is>
      </c>
      <c r="O21" s="8" t="inlineStr">
        <is>
          <t>S</t>
        </is>
      </c>
      <c r="P21" s="8" t="inlineStr">
        <is>
          <t>S</t>
        </is>
      </c>
      <c r="Q21" s="8" t="inlineStr">
        <is>
          <t>S</t>
        </is>
      </c>
      <c r="R21" s="8" t="inlineStr">
        <is>
          <t>S</t>
        </is>
      </c>
      <c r="S21" s="18" t="inlineStr">
        <is>
          <t>S</t>
        </is>
      </c>
      <c r="T21" s="8" t="inlineStr">
        <is>
          <t>S</t>
        </is>
      </c>
      <c r="U21" s="8" t="inlineStr">
        <is>
          <t>S</t>
        </is>
      </c>
      <c r="V21" s="8" t="inlineStr">
        <is>
          <t>S</t>
        </is>
      </c>
      <c r="W21" s="8" t="inlineStr">
        <is>
          <t>S</t>
        </is>
      </c>
      <c r="X21" s="8" t="inlineStr">
        <is>
          <t>S</t>
        </is>
      </c>
      <c r="Y21" s="8" t="inlineStr">
        <is>
          <t>S</t>
        </is>
      </c>
      <c r="Z21" s="8" t="inlineStr">
        <is>
          <t>S</t>
        </is>
      </c>
      <c r="AA21" s="8" t="inlineStr">
        <is>
          <t>S</t>
        </is>
      </c>
      <c r="AB21" s="8" t="inlineStr">
        <is>
          <t>S</t>
        </is>
      </c>
      <c r="AC21" s="8" t="inlineStr">
        <is>
          <t>S</t>
        </is>
      </c>
      <c r="AD21" s="8" t="inlineStr">
        <is>
          <t>S</t>
        </is>
      </c>
      <c r="AE21" s="8" t="inlineStr">
        <is>
          <t>S</t>
        </is>
      </c>
    </row>
    <row r="22">
      <c r="A22" s="8" t="inlineStr">
        <is>
          <t>H3</t>
        </is>
      </c>
      <c r="B22" s="9" t="inlineStr">
        <is>
          <t>Conciliación de los nuevos decos</t>
        </is>
      </c>
      <c r="C22" s="9" t="inlineStr">
        <is>
          <t>Conciliación de los nuevos decos</t>
        </is>
      </c>
      <c r="D22" s="9" t="n"/>
      <c r="E22" s="8" t="inlineStr">
        <is>
          <t>S</t>
        </is>
      </c>
      <c r="F22" s="8" t="inlineStr">
        <is>
          <t>S</t>
        </is>
      </c>
      <c r="G22" s="8" t="inlineStr">
        <is>
          <t>S</t>
        </is>
      </c>
      <c r="H22" s="8" t="inlineStr">
        <is>
          <t>S</t>
        </is>
      </c>
      <c r="I22" s="8" t="inlineStr">
        <is>
          <t>S</t>
        </is>
      </c>
      <c r="J22" s="8" t="inlineStr">
        <is>
          <t>S</t>
        </is>
      </c>
      <c r="K22" s="18" t="inlineStr">
        <is>
          <t>S</t>
        </is>
      </c>
      <c r="L22" s="8" t="inlineStr">
        <is>
          <t>S</t>
        </is>
      </c>
      <c r="M22" s="8" t="inlineStr">
        <is>
          <t>S</t>
        </is>
      </c>
      <c r="N22" s="8" t="inlineStr">
        <is>
          <t>S</t>
        </is>
      </c>
      <c r="O22" s="8" t="inlineStr">
        <is>
          <t>S</t>
        </is>
      </c>
      <c r="P22" s="8" t="inlineStr">
        <is>
          <t>S</t>
        </is>
      </c>
      <c r="Q22" s="8" t="inlineStr">
        <is>
          <t>S</t>
        </is>
      </c>
      <c r="R22" s="8" t="inlineStr">
        <is>
          <t>S</t>
        </is>
      </c>
      <c r="S22" s="18" t="inlineStr">
        <is>
          <t>S</t>
        </is>
      </c>
      <c r="T22" s="8" t="inlineStr">
        <is>
          <t>S</t>
        </is>
      </c>
      <c r="U22" s="8" t="inlineStr">
        <is>
          <t>S</t>
        </is>
      </c>
      <c r="V22" s="8" t="inlineStr">
        <is>
          <t>S</t>
        </is>
      </c>
      <c r="W22" s="9" t="inlineStr">
        <is>
          <t>S - Se completó la operación en el viaje hacia el otro cliente</t>
        </is>
      </c>
      <c r="X22" s="8" t="inlineStr">
        <is>
          <t>S</t>
        </is>
      </c>
      <c r="Y22" s="8" t="inlineStr">
        <is>
          <t>S</t>
        </is>
      </c>
      <c r="Z22" s="8" t="inlineStr">
        <is>
          <t>S</t>
        </is>
      </c>
      <c r="AA22" s="9" t="inlineStr">
        <is>
          <t>S - Se completó la operación en el viaje hacia el otro cliente</t>
        </is>
      </c>
      <c r="AB22" s="8" t="inlineStr">
        <is>
          <t>S</t>
        </is>
      </c>
      <c r="AC22" s="8" t="inlineStr">
        <is>
          <t>S</t>
        </is>
      </c>
      <c r="AD22" s="8" t="inlineStr">
        <is>
          <t>S</t>
        </is>
      </c>
      <c r="AE22" s="8" t="inlineStr">
        <is>
          <t>S</t>
        </is>
      </c>
    </row>
    <row r="23">
      <c r="A23" s="8" t="inlineStr">
        <is>
          <t>H3</t>
        </is>
      </c>
      <c r="B23" s="9" t="inlineStr">
        <is>
          <t>Observaciones H3</t>
        </is>
      </c>
      <c r="C23" s="9" t="inlineStr">
        <is>
          <t>Observaciones H3</t>
        </is>
      </c>
      <c r="D23" s="9" t="n"/>
      <c r="E23" s="9" t="inlineStr">
        <is>
          <t>En sistema figuraban 3 cambios; tenían 2. Se hizo figurar un cambio sin retirar un 3er equipo. Desconocían de quién era ese 3er deco; lo pusieron en una habitación cualquiera</t>
        </is>
      </c>
      <c r="F23" s="8" t="n"/>
      <c r="G23" s="8" t="n"/>
      <c r="H23" s="8" t="n"/>
      <c r="I23" s="8" t="n"/>
      <c r="J23" s="8" t="n"/>
      <c r="K23" s="18" t="n"/>
      <c r="L23" s="8" t="n"/>
      <c r="M23" s="8" t="n"/>
      <c r="N23" s="8" t="n"/>
      <c r="O23" s="8" t="n"/>
      <c r="P23" s="8" t="n"/>
      <c r="Q23" s="8" t="n"/>
      <c r="R23" s="8" t="n"/>
      <c r="S23" s="18" t="n"/>
      <c r="T23" s="8" t="n"/>
      <c r="U23" s="8" t="n"/>
      <c r="V23" s="8" t="n"/>
      <c r="W23" s="8" t="n"/>
      <c r="X23" s="8" t="n"/>
      <c r="Y23" s="8" t="n"/>
      <c r="Z23" s="9" t="inlineStr">
        <is>
          <t>En sistema figuraban dos decos porque el anterior no se quitó</t>
        </is>
      </c>
      <c r="AA23" s="8" t="n"/>
      <c r="AB23" s="8" t="n"/>
      <c r="AC23" s="8" t="n"/>
      <c r="AD23" s="8" t="n"/>
      <c r="AE23" s="8" t="n"/>
    </row>
    <row r="24" ht="28" customHeight="1">
      <c r="A24" s="7" t="inlineStr">
        <is>
          <t>H4. Parte de las fricciones no están asociadas al dispositivo, sino a limitaciones de gestión y registro (suscripciones, credenciales).</t>
        </is>
      </c>
    </row>
    <row r="25">
      <c r="A25" s="8" t="inlineStr">
        <is>
          <t>H4</t>
        </is>
      </c>
      <c r="B25" s="9" t="inlineStr">
        <is>
          <t>Las suscripciones previamente contratadas no se mantienen activas</t>
        </is>
      </c>
      <c r="C25" s="25" t="inlineStr">
        <is>
          <t>Las suscripciones previamente contratadas se mantienen activas</t>
        </is>
      </c>
      <c r="D25" s="15" t="inlineStr">
        <is>
          <t>Revisar V04: figura N, pero en el criterio siguiente se registra 'Pack fútbol reconocido en el perfil'.</t>
        </is>
      </c>
      <c r="E25" s="8" t="inlineStr">
        <is>
          <t>N/A</t>
        </is>
      </c>
      <c r="F25" s="8" t="inlineStr">
        <is>
          <t>N/A</t>
        </is>
      </c>
      <c r="G25" s="8" t="inlineStr">
        <is>
          <t>N/A</t>
        </is>
      </c>
      <c r="H25" s="8" t="inlineStr">
        <is>
          <t>N</t>
        </is>
      </c>
      <c r="I25" s="8" t="n"/>
      <c r="J25" s="9" t="inlineStr">
        <is>
          <t>YouTube sin contraseña</t>
        </is>
      </c>
      <c r="K25" s="18" t="inlineStr">
        <is>
          <t>N/A</t>
        </is>
      </c>
      <c r="L25" s="8" t="inlineStr">
        <is>
          <t>N/A</t>
        </is>
      </c>
      <c r="M25" s="8" t="inlineStr">
        <is>
          <t>N/A</t>
        </is>
      </c>
      <c r="N25" s="9" t="inlineStr">
        <is>
          <t>Pidió ver HBO, no lo tiene contratado</t>
        </is>
      </c>
      <c r="O25" s="9" t="inlineStr">
        <is>
          <t>Sí, tiene pack fútbol</t>
        </is>
      </c>
      <c r="P25" s="8" t="inlineStr">
        <is>
          <t>N/A</t>
        </is>
      </c>
      <c r="Q25" s="9" t="inlineStr">
        <is>
          <t>Se ve, pack fútbol</t>
        </is>
      </c>
      <c r="R25" s="8" t="inlineStr">
        <is>
          <t>N/A</t>
        </is>
      </c>
      <c r="S25" s="18" t="inlineStr">
        <is>
          <t>N/A</t>
        </is>
      </c>
      <c r="T25" s="8" t="inlineStr">
        <is>
          <t>N/A</t>
        </is>
      </c>
      <c r="U25" s="8" t="inlineStr">
        <is>
          <t>N/A</t>
        </is>
      </c>
      <c r="V25" s="8" t="inlineStr">
        <is>
          <t>N/A</t>
        </is>
      </c>
      <c r="W25" s="8" t="inlineStr">
        <is>
          <t>N/A</t>
        </is>
      </c>
      <c r="X25" s="8" t="inlineStr">
        <is>
          <t>N/A</t>
        </is>
      </c>
      <c r="Y25" s="8" t="inlineStr">
        <is>
          <t>N/A</t>
        </is>
      </c>
      <c r="Z25" s="8" t="inlineStr">
        <is>
          <t>N/A</t>
        </is>
      </c>
      <c r="AA25" s="8" t="inlineStr">
        <is>
          <t>N/A</t>
        </is>
      </c>
      <c r="AB25" s="8" t="inlineStr">
        <is>
          <t>N/A</t>
        </is>
      </c>
      <c r="AC25" s="8" t="inlineStr">
        <is>
          <t>N/A</t>
        </is>
      </c>
      <c r="AD25" s="8" t="inlineStr">
        <is>
          <t>N/A</t>
        </is>
      </c>
      <c r="AE25" s="8" t="inlineStr">
        <is>
          <t>N/A</t>
        </is>
      </c>
    </row>
    <row r="26">
      <c r="A26" s="8" t="inlineStr">
        <is>
          <t>H4</t>
        </is>
      </c>
      <c r="B26" s="9" t="inlineStr">
        <is>
          <t>Acceder a las suscripciones previamente contratadas implica un esfuerzo del cliente</t>
        </is>
      </c>
      <c r="C26" s="9" t="inlineStr">
        <is>
          <t>Acceder a las suscripciones previamente contratadas implica un esfuerzo del cliente</t>
        </is>
      </c>
      <c r="D26" s="9" t="n"/>
      <c r="E26" s="8" t="inlineStr">
        <is>
          <t>N/A</t>
        </is>
      </c>
      <c r="F26" s="8" t="inlineStr">
        <is>
          <t>N/A</t>
        </is>
      </c>
      <c r="G26" s="8" t="inlineStr">
        <is>
          <t>N/A</t>
        </is>
      </c>
      <c r="H26" s="9" t="inlineStr">
        <is>
          <t>Pack fútbol reconocido en el perfil</t>
        </is>
      </c>
      <c r="I26" s="9" t="inlineStr">
        <is>
          <t>Ayudamos a reconectar su suscripción de Netflix</t>
        </is>
      </c>
      <c r="J26" s="9" t="inlineStr">
        <is>
          <t>YouTube en modo visita</t>
        </is>
      </c>
      <c r="K26" s="18" t="inlineStr">
        <is>
          <t>N</t>
        </is>
      </c>
      <c r="L26" s="8" t="inlineStr">
        <is>
          <t>N/A</t>
        </is>
      </c>
      <c r="M26" s="9" t="inlineStr">
        <is>
          <t>Cargar credenciales / Google / Play Store</t>
        </is>
      </c>
      <c r="N26" s="8" t="inlineStr">
        <is>
          <t>N/A</t>
        </is>
      </c>
      <c r="O26" s="8" t="inlineStr">
        <is>
          <t>N</t>
        </is>
      </c>
      <c r="P26" s="8" t="inlineStr">
        <is>
          <t>N</t>
        </is>
      </c>
      <c r="Q26" s="8" t="inlineStr">
        <is>
          <t>N</t>
        </is>
      </c>
      <c r="R26" s="8" t="inlineStr">
        <is>
          <t>N/A</t>
        </is>
      </c>
      <c r="S26" s="18" t="inlineStr">
        <is>
          <t>N/A</t>
        </is>
      </c>
      <c r="T26" s="8" t="inlineStr">
        <is>
          <t>N/A</t>
        </is>
      </c>
      <c r="U26" s="8" t="inlineStr">
        <is>
          <t>N/A</t>
        </is>
      </c>
      <c r="V26" s="8" t="inlineStr">
        <is>
          <t>N/A</t>
        </is>
      </c>
      <c r="W26" s="8" t="inlineStr">
        <is>
          <t>N/A</t>
        </is>
      </c>
      <c r="X26" s="8" t="inlineStr">
        <is>
          <t>N/A</t>
        </is>
      </c>
      <c r="Y26" s="8" t="inlineStr">
        <is>
          <t>N/A</t>
        </is>
      </c>
      <c r="Z26" s="8" t="inlineStr">
        <is>
          <t>N/A</t>
        </is>
      </c>
      <c r="AA26" s="8" t="inlineStr">
        <is>
          <t>N/A</t>
        </is>
      </c>
      <c r="AB26" s="8" t="inlineStr">
        <is>
          <t>N/A</t>
        </is>
      </c>
      <c r="AC26" s="8" t="inlineStr">
        <is>
          <t>N/A</t>
        </is>
      </c>
      <c r="AD26" s="8" t="inlineStr">
        <is>
          <t>N/A</t>
        </is>
      </c>
      <c r="AE26" s="8" t="inlineStr">
        <is>
          <t>N/A</t>
        </is>
      </c>
    </row>
    <row r="27">
      <c r="A27" s="8" t="inlineStr">
        <is>
          <t>H4</t>
        </is>
      </c>
      <c r="B27" s="9" t="inlineStr">
        <is>
          <t>Las credenciales de las suscripciones no se cargan automáticamente y el usuario no las recuerda y/o expresa disgusto</t>
        </is>
      </c>
      <c r="C27" s="25" t="inlineStr">
        <is>
          <t>Las credenciales de las suscripciones se cargan automáticamente o el usuario las recuerda sin expresar disgusto</t>
        </is>
      </c>
      <c r="D27" s="15" t="inlineStr">
        <is>
          <t>Polaridad a validar: las N de V07, V09, V11-V12 conviven con notas que indican que no hubo problema.</t>
        </is>
      </c>
      <c r="E27" s="8" t="inlineStr">
        <is>
          <t>N/A</t>
        </is>
      </c>
      <c r="F27" s="8" t="inlineStr">
        <is>
          <t>N/A</t>
        </is>
      </c>
      <c r="G27" s="8" t="inlineStr">
        <is>
          <t>N/A</t>
        </is>
      </c>
      <c r="H27" s="8" t="inlineStr">
        <is>
          <t>N/A</t>
        </is>
      </c>
      <c r="I27" s="9" t="inlineStr">
        <is>
          <t>Necesitó asistencia</t>
        </is>
      </c>
      <c r="J27" s="9" t="inlineStr">
        <is>
          <t>YouTube en modo visita</t>
        </is>
      </c>
      <c r="K27" s="18" t="inlineStr">
        <is>
          <t>N</t>
        </is>
      </c>
      <c r="L27" s="8" t="inlineStr">
        <is>
          <t>N/A</t>
        </is>
      </c>
      <c r="M27" s="8" t="inlineStr">
        <is>
          <t>N</t>
        </is>
      </c>
      <c r="N27" s="8" t="inlineStr">
        <is>
          <t>N/A</t>
        </is>
      </c>
      <c r="O27" s="8" t="inlineStr">
        <is>
          <t>N</t>
        </is>
      </c>
      <c r="P27" s="8" t="inlineStr">
        <is>
          <t>N</t>
        </is>
      </c>
      <c r="Q27" s="9" t="inlineStr">
        <is>
          <t>Carga las credenciales</t>
        </is>
      </c>
      <c r="R27" s="8" t="inlineStr">
        <is>
          <t>N/A</t>
        </is>
      </c>
      <c r="S27" s="18" t="inlineStr">
        <is>
          <t>N/A</t>
        </is>
      </c>
      <c r="T27" s="8" t="inlineStr">
        <is>
          <t>N/A</t>
        </is>
      </c>
      <c r="U27" s="8" t="inlineStr">
        <is>
          <t>N/A</t>
        </is>
      </c>
      <c r="V27" s="8" t="inlineStr">
        <is>
          <t>N/A</t>
        </is>
      </c>
      <c r="W27" s="8" t="inlineStr">
        <is>
          <t>N/A</t>
        </is>
      </c>
      <c r="X27" s="8" t="inlineStr">
        <is>
          <t>N/A</t>
        </is>
      </c>
      <c r="Y27" s="8" t="inlineStr">
        <is>
          <t>N/A</t>
        </is>
      </c>
      <c r="Z27" s="8" t="inlineStr">
        <is>
          <t>N/A</t>
        </is>
      </c>
      <c r="AA27" s="8" t="inlineStr">
        <is>
          <t>N/A</t>
        </is>
      </c>
      <c r="AB27" s="8" t="inlineStr">
        <is>
          <t>N/A</t>
        </is>
      </c>
      <c r="AC27" s="8" t="inlineStr">
        <is>
          <t>N/A</t>
        </is>
      </c>
      <c r="AD27" s="8" t="inlineStr">
        <is>
          <t>N/A</t>
        </is>
      </c>
      <c r="AE27" s="8" t="inlineStr">
        <is>
          <t>N/A</t>
        </is>
      </c>
    </row>
    <row r="28">
      <c r="A28" s="8" t="inlineStr">
        <is>
          <t>H4</t>
        </is>
      </c>
      <c r="B28" s="9" t="inlineStr">
        <is>
          <t>Las apps de terceros (Netflix/YouTube) se mantienen logueadas</t>
        </is>
      </c>
      <c r="C28" s="9" t="inlineStr">
        <is>
          <t>Las apps de terceros (Netflix/YouTube) se mantienen logueadas</t>
        </is>
      </c>
      <c r="D28" s="9" t="n"/>
      <c r="E28" s="8" t="inlineStr">
        <is>
          <t>N/A</t>
        </is>
      </c>
      <c r="F28" s="8" t="inlineStr">
        <is>
          <t>N/A</t>
        </is>
      </c>
      <c r="G28" s="8" t="inlineStr">
        <is>
          <t>N/A</t>
        </is>
      </c>
      <c r="H28" s="8" t="inlineStr">
        <is>
          <t>N/A</t>
        </is>
      </c>
      <c r="I28" s="9" t="inlineStr">
        <is>
          <t>Recordó las credenciales</t>
        </is>
      </c>
      <c r="J28" s="9" t="inlineStr">
        <is>
          <t>YouTube en modo visita</t>
        </is>
      </c>
      <c r="K28" s="18" t="inlineStr">
        <is>
          <t>N</t>
        </is>
      </c>
      <c r="L28" s="8" t="inlineStr">
        <is>
          <t>N/A</t>
        </is>
      </c>
      <c r="M28" s="8" t="inlineStr">
        <is>
          <t>S</t>
        </is>
      </c>
      <c r="N28" s="8" t="inlineStr">
        <is>
          <t>N/A</t>
        </is>
      </c>
      <c r="O28" s="8" t="inlineStr">
        <is>
          <t>N/A</t>
        </is>
      </c>
      <c r="P28" s="8" t="inlineStr">
        <is>
          <t>N</t>
        </is>
      </c>
      <c r="Q28" s="8" t="inlineStr">
        <is>
          <t>S</t>
        </is>
      </c>
      <c r="R28" s="8" t="inlineStr">
        <is>
          <t>N/A</t>
        </is>
      </c>
      <c r="S28" s="18" t="inlineStr">
        <is>
          <t>N/A</t>
        </is>
      </c>
      <c r="T28" s="8" t="inlineStr">
        <is>
          <t>N/A</t>
        </is>
      </c>
      <c r="U28" s="8" t="inlineStr">
        <is>
          <t>N/A</t>
        </is>
      </c>
      <c r="V28" s="8" t="inlineStr">
        <is>
          <t>N/A</t>
        </is>
      </c>
      <c r="W28" s="8" t="inlineStr">
        <is>
          <t>N/A</t>
        </is>
      </c>
      <c r="X28" s="8" t="inlineStr">
        <is>
          <t>N/A</t>
        </is>
      </c>
      <c r="Y28" s="8" t="inlineStr">
        <is>
          <t>N/A</t>
        </is>
      </c>
      <c r="Z28" s="8" t="inlineStr">
        <is>
          <t>N/A</t>
        </is>
      </c>
      <c r="AA28" s="9" t="inlineStr">
        <is>
          <t>N - Se probó YouTube pero no estaba logueado</t>
        </is>
      </c>
      <c r="AB28" s="8" t="inlineStr">
        <is>
          <t>N/A</t>
        </is>
      </c>
      <c r="AC28" s="9" t="inlineStr">
        <is>
          <t>N - Se probó Netflix dentro de MTV y no estaba logueado</t>
        </is>
      </c>
      <c r="AD28" s="8" t="inlineStr">
        <is>
          <t>N/A</t>
        </is>
      </c>
      <c r="AE28" s="9" t="inlineStr">
        <is>
          <t>N - Se probó YouTube pero no estaba logueado</t>
        </is>
      </c>
    </row>
    <row r="29" ht="28" customHeight="1">
      <c r="A29" s="7" t="inlineStr">
        <is>
          <t>H5. Existen consultas recurrentes que podrían resolverse previamente mediante comunicaciones o materiales explicativos.</t>
        </is>
      </c>
    </row>
    <row r="30">
      <c r="A30" s="8" t="inlineStr">
        <is>
          <t>H5</t>
        </is>
      </c>
      <c r="B30" s="9" t="inlineStr">
        <is>
          <t>Dudas que generan más tiempo de visita</t>
        </is>
      </c>
      <c r="C30" s="9" t="inlineStr">
        <is>
          <t>Dudas que generan más tiempo de visita</t>
        </is>
      </c>
      <c r="D30" s="9" t="n"/>
      <c r="E30" s="8" t="inlineStr">
        <is>
          <t>N</t>
        </is>
      </c>
      <c r="F30" s="9" t="inlineStr">
        <is>
          <t>¿Por qué el cambio? ¿A qué se debe?</t>
        </is>
      </c>
      <c r="G30" s="8" t="inlineStr">
        <is>
          <t>N</t>
        </is>
      </c>
      <c r="H30" s="9" t="inlineStr">
        <is>
          <t>"¿Hay que pagar algo por el cambio del deco?"</t>
        </is>
      </c>
      <c r="I30" s="9" t="inlineStr">
        <is>
          <t>Uso del control remoto / interfaz</t>
        </is>
      </c>
      <c r="J30" s="8" t="inlineStr">
        <is>
          <t>N</t>
        </is>
      </c>
      <c r="K30" s="18" t="inlineStr">
        <is>
          <t>N</t>
        </is>
      </c>
      <c r="L30" s="8" t="inlineStr">
        <is>
          <t>N</t>
        </is>
      </c>
      <c r="M30" s="8" t="inlineStr">
        <is>
          <t>N</t>
        </is>
      </c>
      <c r="N30" s="8" t="inlineStr">
        <is>
          <t>N</t>
        </is>
      </c>
      <c r="O30" s="9" t="inlineStr">
        <is>
          <t>La atención telefónica es mala, no me interpretaron</t>
        </is>
      </c>
      <c r="P30" s="8" t="inlineStr">
        <is>
          <t>N</t>
        </is>
      </c>
      <c r="Q30" s="9" t="inlineStr">
        <is>
          <t>No sabía qué hacíamos, qué cambiábamos</t>
        </is>
      </c>
      <c r="R30" s="8" t="inlineStr">
        <is>
          <t>N</t>
        </is>
      </c>
      <c r="S30" s="18" t="inlineStr">
        <is>
          <t>N/A</t>
        </is>
      </c>
      <c r="T30" s="8" t="inlineStr">
        <is>
          <t>N</t>
        </is>
      </c>
      <c r="U30" s="8" t="inlineStr">
        <is>
          <t>N/A</t>
        </is>
      </c>
      <c r="V30" s="8" t="inlineStr">
        <is>
          <t>N/A</t>
        </is>
      </c>
      <c r="W30" s="9" t="inlineStr">
        <is>
          <t>¿Por qué el cambio? ¿A qué se debe?</t>
        </is>
      </c>
      <c r="X30" s="8" t="inlineStr">
        <is>
          <t>N/A</t>
        </is>
      </c>
      <c r="Y30" s="8" t="inlineStr">
        <is>
          <t>N/A</t>
        </is>
      </c>
      <c r="Z30" s="8" t="inlineStr">
        <is>
          <t>N/A</t>
        </is>
      </c>
      <c r="AA30" s="9" t="inlineStr">
        <is>
          <t>¿Por qué el cambio? ¿A qué se debe?</t>
        </is>
      </c>
      <c r="AB30" s="9" t="inlineStr">
        <is>
          <t>¿Por qué el cambio? ¿A qué se debe?</t>
        </is>
      </c>
      <c r="AC30" s="9" t="inlineStr">
        <is>
          <t>¿Por qué el cambio? Hace poco tenía la instalación realizada como nueva</t>
        </is>
      </c>
      <c r="AD30" s="8" t="inlineStr">
        <is>
          <t>N/A</t>
        </is>
      </c>
      <c r="AE30" s="8" t="inlineStr">
        <is>
          <t>N/A</t>
        </is>
      </c>
    </row>
    <row r="31">
      <c r="A31" s="8" t="inlineStr">
        <is>
          <t>H5</t>
        </is>
      </c>
      <c r="B31" s="9" t="inlineStr">
        <is>
          <t>El cliente consulta sobre aspectos administrativos (costo, beneficio, titularidad)</t>
        </is>
      </c>
      <c r="C31" s="9" t="inlineStr">
        <is>
          <t>El cliente consulta sobre aspectos administrativos (costo, beneficio, titularidad)</t>
        </is>
      </c>
      <c r="D31" s="9" t="n"/>
      <c r="E31" s="8" t="inlineStr">
        <is>
          <t>N</t>
        </is>
      </c>
      <c r="F31" s="8" t="inlineStr">
        <is>
          <t>N</t>
        </is>
      </c>
      <c r="G31" s="8" t="inlineStr">
        <is>
          <t>N</t>
        </is>
      </c>
      <c r="H31" s="8" t="inlineStr">
        <is>
          <t>N</t>
        </is>
      </c>
      <c r="I31" s="8" t="inlineStr">
        <is>
          <t>N</t>
        </is>
      </c>
      <c r="J31" s="8" t="inlineStr">
        <is>
          <t>N</t>
        </is>
      </c>
      <c r="K31" s="18" t="inlineStr">
        <is>
          <t>N</t>
        </is>
      </c>
      <c r="L31" s="8" t="inlineStr">
        <is>
          <t>N</t>
        </is>
      </c>
      <c r="M31" s="8" t="inlineStr">
        <is>
          <t>N</t>
        </is>
      </c>
      <c r="N31" s="8" t="inlineStr">
        <is>
          <t>N</t>
        </is>
      </c>
      <c r="O31" s="8" t="inlineStr">
        <is>
          <t>N</t>
        </is>
      </c>
      <c r="P31" s="8" t="inlineStr">
        <is>
          <t>N</t>
        </is>
      </c>
      <c r="Q31" s="8" t="inlineStr">
        <is>
          <t>N</t>
        </is>
      </c>
      <c r="R31" s="8" t="inlineStr">
        <is>
          <t>N</t>
        </is>
      </c>
      <c r="S31" s="23" t="inlineStr">
        <is>
          <t>¿Tiene costo? (le figura instalación; había pedido cambio de deco)</t>
        </is>
      </c>
      <c r="T31" s="9" t="inlineStr">
        <is>
          <t>El deco anterior funcionaba muy mal...</t>
        </is>
      </c>
      <c r="U31" s="8" t="inlineStr">
        <is>
          <t>N</t>
        </is>
      </c>
      <c r="V31" s="8" t="inlineStr">
        <is>
          <t>N</t>
        </is>
      </c>
      <c r="W31" s="8" t="inlineStr">
        <is>
          <t>N</t>
        </is>
      </c>
      <c r="X31" s="8" t="inlineStr">
        <is>
          <t>N</t>
        </is>
      </c>
      <c r="Y31" s="8" t="inlineStr">
        <is>
          <t>N</t>
        </is>
      </c>
      <c r="Z31" s="8" t="inlineStr">
        <is>
          <t>N</t>
        </is>
      </c>
      <c r="AA31" s="8" t="inlineStr">
        <is>
          <t>N</t>
        </is>
      </c>
      <c r="AB31" s="8" t="inlineStr">
        <is>
          <t>N</t>
        </is>
      </c>
      <c r="AC31" s="8" t="inlineStr">
        <is>
          <t>N</t>
        </is>
      </c>
      <c r="AD31" s="8" t="inlineStr">
        <is>
          <t>N</t>
        </is>
      </c>
      <c r="AE31" s="8" t="inlineStr">
        <is>
          <t>N</t>
        </is>
      </c>
    </row>
    <row r="32">
      <c r="A32" s="8" t="inlineStr">
        <is>
          <t>H5</t>
        </is>
      </c>
      <c r="B32" s="9" t="inlineStr">
        <is>
          <t>El cliente consulta sobre aspectos operativos (carga o baja de una suscripción)</t>
        </is>
      </c>
      <c r="C32" s="9" t="inlineStr">
        <is>
          <t>El cliente consulta sobre aspectos operativos (carga o baja de una suscripción)</t>
        </is>
      </c>
      <c r="D32" s="9" t="n"/>
      <c r="E32" s="8" t="inlineStr">
        <is>
          <t>N</t>
        </is>
      </c>
      <c r="F32" s="8" t="inlineStr">
        <is>
          <t>N</t>
        </is>
      </c>
      <c r="G32" s="8" t="inlineStr">
        <is>
          <t>N</t>
        </is>
      </c>
      <c r="H32" s="8" t="inlineStr">
        <is>
          <t>N</t>
        </is>
      </c>
      <c r="I32" s="9" t="inlineStr">
        <is>
          <t>Contó que lo ayudará la hija cuando vuelva</t>
        </is>
      </c>
      <c r="J32" s="8" t="inlineStr">
        <is>
          <t>N</t>
        </is>
      </c>
      <c r="K32" s="18" t="inlineStr">
        <is>
          <t>N</t>
        </is>
      </c>
      <c r="L32" s="8" t="inlineStr">
        <is>
          <t>N</t>
        </is>
      </c>
      <c r="M32" s="8" t="inlineStr">
        <is>
          <t>N</t>
        </is>
      </c>
      <c r="N32" s="8" t="inlineStr">
        <is>
          <t>N</t>
        </is>
      </c>
      <c r="O32" s="8" t="inlineStr">
        <is>
          <t>N</t>
        </is>
      </c>
      <c r="P32" s="8" t="inlineStr">
        <is>
          <t>N</t>
        </is>
      </c>
      <c r="Q32" s="8" t="inlineStr">
        <is>
          <t>N</t>
        </is>
      </c>
      <c r="R32" s="8" t="inlineStr">
        <is>
          <t>N</t>
        </is>
      </c>
      <c r="S32" s="18" t="inlineStr">
        <is>
          <t>N</t>
        </is>
      </c>
      <c r="T32" s="9" t="inlineStr">
        <is>
          <t>Netflix: quiero seguir viendo Netflix</t>
        </is>
      </c>
      <c r="U32" s="8" t="inlineStr">
        <is>
          <t>N</t>
        </is>
      </c>
      <c r="V32" s="8" t="inlineStr">
        <is>
          <t>N</t>
        </is>
      </c>
      <c r="W32" s="8" t="inlineStr">
        <is>
          <t>N</t>
        </is>
      </c>
      <c r="X32" s="8" t="inlineStr">
        <is>
          <t>N</t>
        </is>
      </c>
      <c r="Y32" s="8" t="inlineStr">
        <is>
          <t>N</t>
        </is>
      </c>
      <c r="Z32" s="9" t="inlineStr">
        <is>
          <t>Le va a pedir al nieto que le cargue nuevamente usuario y contraseña de Netflix</t>
        </is>
      </c>
      <c r="AA32" s="8" t="inlineStr">
        <is>
          <t>N</t>
        </is>
      </c>
      <c r="AB32" s="8" t="inlineStr">
        <is>
          <t>N</t>
        </is>
      </c>
      <c r="AC32" s="8" t="inlineStr">
        <is>
          <t>N</t>
        </is>
      </c>
      <c r="AD32" s="8" t="inlineStr">
        <is>
          <t>N</t>
        </is>
      </c>
      <c r="AE32" s="8" t="inlineStr">
        <is>
          <t>N</t>
        </is>
      </c>
    </row>
    <row r="33">
      <c r="A33" s="8" t="inlineStr">
        <is>
          <t>H5</t>
        </is>
      </c>
      <c r="B33" s="9" t="inlineStr">
        <is>
          <t>El cliente consulta sobre aspectos de uso (otra TV, control remoto, funciones de voz)</t>
        </is>
      </c>
      <c r="C33" s="15" t="inlineStr">
        <is>
          <t>El cliente consulta sobre aspectos de uso (otra TV, control remoto, funciones de voz)</t>
        </is>
      </c>
      <c r="D33" s="15" t="inlineStr">
        <is>
          <t>La fila original tenía 28 valores; las 2 consultas por control por voz se ubicaron en V19 y V25 por consistencia con otras filas.</t>
        </is>
      </c>
      <c r="E33" s="8" t="inlineStr">
        <is>
          <t>N</t>
        </is>
      </c>
      <c r="F33" s="8" t="inlineStr">
        <is>
          <t>N</t>
        </is>
      </c>
      <c r="G33" s="8" t="inlineStr">
        <is>
          <t>N</t>
        </is>
      </c>
      <c r="H33" s="8" t="inlineStr">
        <is>
          <t>N</t>
        </is>
      </c>
      <c r="I33" s="9" t="inlineStr">
        <is>
          <t>Pidió que probemos todo el uso; se hizo superficialmente</t>
        </is>
      </c>
      <c r="J33" s="9" t="inlineStr">
        <is>
          <t>"Si tengo problemas, ¿qué hago?" (derivamos a 611)</t>
        </is>
      </c>
      <c r="K33" s="18" t="inlineStr">
        <is>
          <t>N</t>
        </is>
      </c>
      <c r="L33" s="9" t="inlineStr">
        <is>
          <t>Intriga por el nuevo control remoto: más chico, accesos directos interesantes</t>
        </is>
      </c>
      <c r="M33" s="9" t="inlineStr">
        <is>
          <t>Menú / apps de terceros</t>
        </is>
      </c>
      <c r="N33" s="8" t="inlineStr">
        <is>
          <t>N</t>
        </is>
      </c>
      <c r="O33" s="9" t="inlineStr">
        <is>
          <t>Mala atención del operador telefónico</t>
        </is>
      </c>
      <c r="P33" s="8" t="inlineStr">
        <is>
          <t>N</t>
        </is>
      </c>
      <c r="Q33" s="8" t="inlineStr">
        <is>
          <t>N</t>
        </is>
      </c>
      <c r="R33" s="8" t="inlineStr">
        <is>
          <t>N</t>
        </is>
      </c>
      <c r="S33" s="18" t="inlineStr">
        <is>
          <t>N</t>
        </is>
      </c>
      <c r="T33" s="8" t="inlineStr">
        <is>
          <t>N</t>
        </is>
      </c>
      <c r="U33" s="8" t="inlineStr">
        <is>
          <t>N</t>
        </is>
      </c>
      <c r="V33" s="8" t="inlineStr">
        <is>
          <t>N</t>
        </is>
      </c>
      <c r="W33" s="9" t="inlineStr">
        <is>
          <t>Consulta cómo se usa el control con la voz</t>
        </is>
      </c>
      <c r="X33" s="8" t="inlineStr">
        <is>
          <t>N</t>
        </is>
      </c>
      <c r="Y33" s="8" t="inlineStr">
        <is>
          <t>N</t>
        </is>
      </c>
      <c r="Z33" s="8" t="inlineStr">
        <is>
          <t>N</t>
        </is>
      </c>
      <c r="AA33" s="8" t="inlineStr">
        <is>
          <t>N</t>
        </is>
      </c>
      <c r="AB33" s="8" t="inlineStr">
        <is>
          <t>N</t>
        </is>
      </c>
      <c r="AC33" s="9" t="inlineStr">
        <is>
          <t>Consulta cómo se usa el control con la voz</t>
        </is>
      </c>
      <c r="AD33" s="8" t="inlineStr">
        <is>
          <t>N</t>
        </is>
      </c>
      <c r="AE33" s="8" t="inlineStr">
        <is>
          <t>N</t>
        </is>
      </c>
    </row>
    <row r="34">
      <c r="A34" s="8" t="inlineStr">
        <is>
          <t>H5</t>
        </is>
      </c>
      <c r="B34" s="9" t="inlineStr">
        <is>
          <t>El cliente consulta sobre otros temas ajenos a la gestión (facturación, débito, otra avería)</t>
        </is>
      </c>
      <c r="C34" s="9" t="inlineStr">
        <is>
          <t>El cliente consulta sobre otros temas ajenos a la gestión (facturación, débito, otra avería)</t>
        </is>
      </c>
      <c r="D34" s="9" t="n"/>
      <c r="E34" s="8" t="inlineStr">
        <is>
          <t>N</t>
        </is>
      </c>
      <c r="F34" s="8" t="inlineStr">
        <is>
          <t>N</t>
        </is>
      </c>
      <c r="G34" s="9" t="inlineStr">
        <is>
          <t>Pidió conectar por wifi (antes por ethernet)</t>
        </is>
      </c>
      <c r="H34" s="8" t="inlineStr">
        <is>
          <t>N</t>
        </is>
      </c>
      <c r="I34" s="8" t="inlineStr">
        <is>
          <t>N</t>
        </is>
      </c>
      <c r="J34" s="8" t="inlineStr">
        <is>
          <t>N</t>
        </is>
      </c>
      <c r="K34" s="18" t="inlineStr">
        <is>
          <t>N</t>
        </is>
      </c>
      <c r="L34" s="8" t="inlineStr">
        <is>
          <t>N</t>
        </is>
      </c>
      <c r="M34" s="8" t="inlineStr">
        <is>
          <t>N</t>
        </is>
      </c>
      <c r="N34" s="8" t="inlineStr">
        <is>
          <t>N</t>
        </is>
      </c>
      <c r="O34" s="9" t="inlineStr">
        <is>
          <t>Por servicio técnico telefónico: su deco no conectaba con el repetidor/módem</t>
        </is>
      </c>
      <c r="P34" s="8" t="inlineStr">
        <is>
          <t>N</t>
        </is>
      </c>
      <c r="Q34" s="9" t="inlineStr">
        <is>
          <t>¿Cómo pido un nuevo deco? (pidió un agregado)</t>
        </is>
      </c>
      <c r="R34" s="8" t="inlineStr">
        <is>
          <t>N</t>
        </is>
      </c>
      <c r="S34" s="23" t="inlineStr">
        <is>
          <t>¿Tiene costo?</t>
        </is>
      </c>
      <c r="T34" s="8" t="inlineStr">
        <is>
          <t>N</t>
        </is>
      </c>
      <c r="U34" s="8" t="inlineStr">
        <is>
          <t>N</t>
        </is>
      </c>
      <c r="V34" s="8" t="inlineStr">
        <is>
          <t>N</t>
        </is>
      </c>
      <c r="W34" s="8" t="inlineStr">
        <is>
          <t>N</t>
        </is>
      </c>
      <c r="X34" s="8" t="inlineStr">
        <is>
          <t>N</t>
        </is>
      </c>
      <c r="Y34" s="8" t="inlineStr">
        <is>
          <t>N</t>
        </is>
      </c>
      <c r="Z34" s="9" t="inlineStr">
        <is>
          <t>Pide que le cambien el módem porque no le funciona bien</t>
        </is>
      </c>
      <c r="AA34" s="8" t="inlineStr">
        <is>
          <t>N</t>
        </is>
      </c>
      <c r="AB34" s="8" t="inlineStr">
        <is>
          <t>N</t>
        </is>
      </c>
      <c r="AC34" s="8" t="inlineStr">
        <is>
          <t>N</t>
        </is>
      </c>
      <c r="AD34" s="8" t="inlineStr">
        <is>
          <t>N</t>
        </is>
      </c>
      <c r="AE34" s="8" t="inlineStr">
        <is>
          <t>N</t>
        </is>
      </c>
    </row>
    <row r="35">
      <c r="A35" s="8" t="inlineStr">
        <is>
          <t>H5</t>
        </is>
      </c>
      <c r="B35" s="9" t="inlineStr">
        <is>
          <t>El cliente reclama comunicación / información previa</t>
        </is>
      </c>
      <c r="C35" s="9" t="inlineStr">
        <is>
          <t>El cliente reclama comunicación / información previa</t>
        </is>
      </c>
      <c r="D35" s="9" t="n"/>
      <c r="E35" s="8" t="inlineStr">
        <is>
          <t>N</t>
        </is>
      </c>
      <c r="F35" s="8" t="inlineStr">
        <is>
          <t>N</t>
        </is>
      </c>
      <c r="G35" s="8" t="inlineStr">
        <is>
          <t>N</t>
        </is>
      </c>
      <c r="H35" s="9" t="inlineStr">
        <is>
          <t>No era el titular, era un familiar</t>
        </is>
      </c>
      <c r="I35" s="9" t="inlineStr">
        <is>
          <t>Consultó por qué es el cambio</t>
        </is>
      </c>
      <c r="J35" s="8" t="inlineStr">
        <is>
          <t>N</t>
        </is>
      </c>
      <c r="K35" s="18" t="inlineStr">
        <is>
          <t>N</t>
        </is>
      </c>
      <c r="L35" s="8" t="inlineStr">
        <is>
          <t>N</t>
        </is>
      </c>
      <c r="M35" s="8" t="inlineStr">
        <is>
          <t>N</t>
        </is>
      </c>
      <c r="N35" s="8" t="inlineStr">
        <is>
          <t>N</t>
        </is>
      </c>
      <c r="O35" s="9" t="inlineStr">
        <is>
          <t>Dudas con repetidor / módem / conexiones; preguntó por cámara de seguridad</t>
        </is>
      </c>
      <c r="P35" s="8" t="inlineStr">
        <is>
          <t>N</t>
        </is>
      </c>
      <c r="Q35" s="8" t="inlineStr">
        <is>
          <t>N</t>
        </is>
      </c>
      <c r="R35" s="9" t="inlineStr">
        <is>
          <t>Coordinó por teléfono: le dijeron que se podía vincular pero no cómo; pidió ayuda. Le dejamos el manual</t>
        </is>
      </c>
      <c r="S35" s="18" t="inlineStr">
        <is>
          <t>N</t>
        </is>
      </c>
      <c r="T35" s="8" t="inlineStr">
        <is>
          <t>N</t>
        </is>
      </c>
      <c r="U35" s="8" t="inlineStr">
        <is>
          <t>N</t>
        </is>
      </c>
      <c r="V35" s="8" t="inlineStr">
        <is>
          <t>N</t>
        </is>
      </c>
      <c r="W35" s="8" t="inlineStr">
        <is>
          <t>N</t>
        </is>
      </c>
      <c r="X35" s="8" t="inlineStr">
        <is>
          <t>N</t>
        </is>
      </c>
      <c r="Y35" s="8" t="inlineStr">
        <is>
          <t>N</t>
        </is>
      </c>
      <c r="Z35" s="8" t="inlineStr">
        <is>
          <t>N</t>
        </is>
      </c>
      <c r="AA35" s="8" t="inlineStr">
        <is>
          <t>N</t>
        </is>
      </c>
      <c r="AB35" s="8" t="inlineStr">
        <is>
          <t>N</t>
        </is>
      </c>
      <c r="AC35" s="8" t="inlineStr">
        <is>
          <t>N</t>
        </is>
      </c>
      <c r="AD35" s="8" t="inlineStr">
        <is>
          <t>N</t>
        </is>
      </c>
      <c r="AE35" s="8" t="inlineStr">
        <is>
          <t>N</t>
        </is>
      </c>
    </row>
    <row r="36" ht="28" customHeight="1">
      <c r="A36" s="7" t="inlineStr">
        <is>
          <t>H6. Los clientes llegan a la visita con bajo conocimiento sobre el motivo y alcance del cambio de deco.</t>
        </is>
      </c>
    </row>
    <row r="37">
      <c r="A37" s="8" t="inlineStr">
        <is>
          <t>H6</t>
        </is>
      </c>
      <c r="B37" s="9" t="inlineStr">
        <is>
          <t>El cliente expresa no haber recibido comunicación previa</t>
        </is>
      </c>
      <c r="C37" s="25" t="inlineStr">
        <is>
          <t>El cliente expresa haber recibido comunicación previa</t>
        </is>
      </c>
      <c r="D37" s="15" t="inlineStr">
        <is>
          <t>Polaridad a validar en V01-V16: con la redacción positiva, N se lee como 'no expresó haber recibido comunicación'. En V17-V27 la nota ('el llamado...') confirma la lectura positiva.</t>
        </is>
      </c>
      <c r="E37" s="9" t="inlineStr">
        <is>
          <t>Atendió un familiar, no estaba el cliente</t>
        </is>
      </c>
      <c r="F37" s="8" t="inlineStr">
        <is>
          <t>N/A</t>
        </is>
      </c>
      <c r="G37" s="8" t="inlineStr">
        <is>
          <t>N</t>
        </is>
      </c>
      <c r="H37" s="8" t="inlineStr">
        <is>
          <t>N/A</t>
        </is>
      </c>
      <c r="I37" s="8" t="inlineStr">
        <is>
          <t>N</t>
        </is>
      </c>
      <c r="J37" s="8" t="inlineStr">
        <is>
          <t>N</t>
        </is>
      </c>
      <c r="K37" s="18" t="inlineStr">
        <is>
          <t>N/A</t>
        </is>
      </c>
      <c r="L37" s="8" t="inlineStr">
        <is>
          <t>N</t>
        </is>
      </c>
      <c r="M37" s="8" t="inlineStr">
        <is>
          <t>N</t>
        </is>
      </c>
      <c r="N37" s="8" t="inlineStr">
        <is>
          <t>N</t>
        </is>
      </c>
      <c r="O37" s="8" t="inlineStr">
        <is>
          <t>N/A</t>
        </is>
      </c>
      <c r="P37" s="8" t="inlineStr">
        <is>
          <t>N/A</t>
        </is>
      </c>
      <c r="Q37" s="8" t="inlineStr">
        <is>
          <t>N</t>
        </is>
      </c>
      <c r="R37" s="8" t="inlineStr">
        <is>
          <t>N</t>
        </is>
      </c>
      <c r="S37" s="18" t="inlineStr">
        <is>
          <t>N</t>
        </is>
      </c>
      <c r="T37" s="8" t="inlineStr">
        <is>
          <t>N</t>
        </is>
      </c>
      <c r="U37" s="9" t="inlineStr">
        <is>
          <t>S - El llamado para hacer el cambio por una nueva tecnología</t>
        </is>
      </c>
      <c r="V37" s="9" t="inlineStr">
        <is>
          <t>S - El llamado para hacer el cambio por una nueva tecnología</t>
        </is>
      </c>
      <c r="W37" s="9" t="inlineStr">
        <is>
          <t>S - El llamado para hacer el cambio por una nueva tecnología</t>
        </is>
      </c>
      <c r="X37" s="9" t="inlineStr">
        <is>
          <t>S - El llamado para hacer el cambio por una nueva tecnología</t>
        </is>
      </c>
      <c r="Y37" s="9" t="inlineStr">
        <is>
          <t>S - El llamado para hacer el cambio por una nueva tecnología</t>
        </is>
      </c>
      <c r="Z37" s="9" t="inlineStr">
        <is>
          <t>S - El llamado para hacer el cambio por una nueva tecnología</t>
        </is>
      </c>
      <c r="AA37" s="9" t="inlineStr">
        <is>
          <t>S - El llamado para hacer el cambio por una nueva tecnología</t>
        </is>
      </c>
      <c r="AB37" s="9" t="inlineStr">
        <is>
          <t>S - El llamado para hacer el cambio por una nueva tecnología</t>
        </is>
      </c>
      <c r="AC37" s="9" t="inlineStr">
        <is>
          <t>S - El llamado para hacer el cambio por una nueva tecnología</t>
        </is>
      </c>
      <c r="AD37" s="9" t="inlineStr">
        <is>
          <t>S - El llamado para hacer el cambio por una nueva tecnología</t>
        </is>
      </c>
      <c r="AE37" s="9" t="inlineStr">
        <is>
          <t>S - El llamado para hacer el cambio por una nueva tecnología</t>
        </is>
      </c>
    </row>
    <row r="38">
      <c r="A38" s="8" t="inlineStr">
        <is>
          <t>H6</t>
        </is>
      </c>
      <c r="B38" s="9" t="inlineStr">
        <is>
          <t>El cliente no entiende el motivo por el que se realiza el cambio</t>
        </is>
      </c>
      <c r="C38" s="25" t="inlineStr">
        <is>
          <t>El cliente entiende el motivo por el que se realiza el cambio</t>
        </is>
      </c>
      <c r="D38" s="15" t="inlineStr">
        <is>
          <t>ALERTA: las notas de campo contradicen la lectura positiva (ej. V02 'preguntó por qué' con N implícito; V17-V27 'N - ya se lo decimos desde la puerta' indica que SÍ entendió). No usar S/N para conteo: se analiza sobre las notas.</t>
        </is>
      </c>
      <c r="E38" s="8" t="inlineStr">
        <is>
          <t>S</t>
        </is>
      </c>
      <c r="F38" s="9" t="inlineStr">
        <is>
          <t>Preguntó "¿por qué?" el cambio</t>
        </is>
      </c>
      <c r="G38" s="8" t="inlineStr">
        <is>
          <t>S</t>
        </is>
      </c>
      <c r="H38" s="9" t="inlineStr">
        <is>
          <t>Consultó el motivo del cambio / no fue con quien se gestionó</t>
        </is>
      </c>
      <c r="I38" s="9" t="inlineStr">
        <is>
          <t>Preguntó el motivo del cambio</t>
        </is>
      </c>
      <c r="J38" s="8" t="inlineStr">
        <is>
          <t>S</t>
        </is>
      </c>
      <c r="K38" s="18" t="inlineStr">
        <is>
          <t>N</t>
        </is>
      </c>
      <c r="L38" s="8" t="inlineStr">
        <is>
          <t>N/A</t>
        </is>
      </c>
      <c r="M38" s="8" t="inlineStr">
        <is>
          <t>N</t>
        </is>
      </c>
      <c r="N38" s="8" t="inlineStr">
        <is>
          <t>N</t>
        </is>
      </c>
      <c r="O38" s="9" t="inlineStr">
        <is>
          <t>Solo características del nuevo deco</t>
        </is>
      </c>
      <c r="P38" s="9" t="inlineStr">
        <is>
          <t>Entiende pero pregunta el motivo</t>
        </is>
      </c>
      <c r="Q38" s="9" t="inlineStr">
        <is>
          <t>Creyó que cambiábamos otro dispositivo</t>
        </is>
      </c>
      <c r="R38" s="8" t="inlineStr">
        <is>
          <t>S</t>
        </is>
      </c>
      <c r="S38" s="18" t="inlineStr">
        <is>
          <t>N</t>
        </is>
      </c>
      <c r="T38" s="8" t="inlineStr">
        <is>
          <t>N</t>
        </is>
      </c>
      <c r="U38" s="9" t="inlineStr">
        <is>
          <t>N - Ya se lo decimos desde la puerta</t>
        </is>
      </c>
      <c r="V38" s="9" t="inlineStr">
        <is>
          <t>N - Ya se lo decimos desde la puerta</t>
        </is>
      </c>
      <c r="W38" s="9" t="inlineStr">
        <is>
          <t>N - Ya se lo decimos desde la puerta</t>
        </is>
      </c>
      <c r="X38" s="9" t="inlineStr">
        <is>
          <t>N - Ya se lo decimos desde la puerta</t>
        </is>
      </c>
      <c r="Y38" s="9" t="inlineStr">
        <is>
          <t>N - Ya se lo decimos desde la puerta</t>
        </is>
      </c>
      <c r="Z38" s="9" t="inlineStr">
        <is>
          <t>N - Ya se lo decimos desde la puerta</t>
        </is>
      </c>
      <c r="AA38" s="9" t="inlineStr">
        <is>
          <t>N - Ya se lo decimos desde la puerta</t>
        </is>
      </c>
      <c r="AB38" s="9" t="inlineStr">
        <is>
          <t>N - Ya se lo decimos desde la puerta</t>
        </is>
      </c>
      <c r="AC38" s="9" t="inlineStr">
        <is>
          <t>N - Ya se lo decimos desde la puerta</t>
        </is>
      </c>
      <c r="AD38" s="9" t="inlineStr">
        <is>
          <t>N - Ya se lo decimos desde la puerta</t>
        </is>
      </c>
      <c r="AE38" s="9" t="inlineStr">
        <is>
          <t>N - Ya se lo decimos desde la puerta</t>
        </is>
      </c>
    </row>
    <row r="39">
      <c r="A39" s="8" t="inlineStr">
        <is>
          <t>H6</t>
        </is>
      </c>
      <c r="B39" s="9" t="inlineStr">
        <is>
          <t>El cliente asume que el cambio tiene otro alcance (deco + control o solo deco)</t>
        </is>
      </c>
      <c r="C39" s="9" t="inlineStr">
        <is>
          <t>El cliente asume que el cambio tiene otro alcance (deco + control o solo deco)</t>
        </is>
      </c>
      <c r="D39" s="9" t="n"/>
      <c r="E39" s="8" t="inlineStr">
        <is>
          <t>N</t>
        </is>
      </c>
      <c r="F39" s="8" t="inlineStr">
        <is>
          <t>N</t>
        </is>
      </c>
      <c r="G39" s="8" t="inlineStr">
        <is>
          <t>N</t>
        </is>
      </c>
      <c r="H39" s="8" t="inlineStr">
        <is>
          <t>N</t>
        </is>
      </c>
      <c r="I39" s="8" t="inlineStr">
        <is>
          <t>N</t>
        </is>
      </c>
      <c r="J39" s="8" t="inlineStr">
        <is>
          <t>N</t>
        </is>
      </c>
      <c r="K39" s="18" t="inlineStr">
        <is>
          <t>N</t>
        </is>
      </c>
      <c r="L39" s="8" t="inlineStr">
        <is>
          <t>N</t>
        </is>
      </c>
      <c r="M39" s="8" t="inlineStr">
        <is>
          <t>N</t>
        </is>
      </c>
      <c r="N39" s="8" t="inlineStr">
        <is>
          <t>N</t>
        </is>
      </c>
      <c r="O39" s="8" t="inlineStr">
        <is>
          <t>N</t>
        </is>
      </c>
      <c r="P39" s="8" t="inlineStr">
        <is>
          <t>N</t>
        </is>
      </c>
      <c r="Q39" s="8" t="n"/>
      <c r="R39" s="8" t="inlineStr">
        <is>
          <t>N</t>
        </is>
      </c>
      <c r="S39" s="18" t="inlineStr">
        <is>
          <t>N</t>
        </is>
      </c>
      <c r="T39" s="8" t="inlineStr">
        <is>
          <t>N</t>
        </is>
      </c>
      <c r="U39" s="8" t="inlineStr">
        <is>
          <t>N</t>
        </is>
      </c>
      <c r="V39" s="8" t="inlineStr">
        <is>
          <t>N</t>
        </is>
      </c>
      <c r="W39" s="8" t="inlineStr">
        <is>
          <t>N</t>
        </is>
      </c>
      <c r="X39" s="8" t="inlineStr">
        <is>
          <t>N</t>
        </is>
      </c>
      <c r="Y39" s="8" t="inlineStr">
        <is>
          <t>N</t>
        </is>
      </c>
      <c r="Z39" s="8" t="inlineStr">
        <is>
          <t>N</t>
        </is>
      </c>
      <c r="AA39" s="8" t="inlineStr">
        <is>
          <t>N</t>
        </is>
      </c>
      <c r="AB39" s="8" t="inlineStr">
        <is>
          <t>N</t>
        </is>
      </c>
      <c r="AC39" s="8" t="inlineStr">
        <is>
          <t>N</t>
        </is>
      </c>
      <c r="AD39" s="8" t="inlineStr">
        <is>
          <t>N</t>
        </is>
      </c>
      <c r="AE39" s="8" t="inlineStr">
        <is>
          <t>N</t>
        </is>
      </c>
    </row>
    <row r="40">
      <c r="A40" s="8" t="inlineStr">
        <is>
          <t>H6</t>
        </is>
      </c>
      <c r="B40" s="9" t="inlineStr">
        <is>
          <t>Observaciones H6</t>
        </is>
      </c>
      <c r="C40" s="9" t="inlineStr">
        <is>
          <t>Observaciones H6</t>
        </is>
      </c>
      <c r="D40" s="9" t="n"/>
      <c r="E40" s="8" t="n"/>
      <c r="F40" s="8" t="n"/>
      <c r="G40" s="8" t="n"/>
      <c r="H40" s="8" t="n"/>
      <c r="I40" s="8" t="n"/>
      <c r="J40" s="8" t="n"/>
      <c r="K40" s="18" t="n"/>
      <c r="L40" s="8" t="n"/>
      <c r="M40" s="8" t="n"/>
      <c r="N40" s="8" t="n"/>
      <c r="O40" s="8" t="n"/>
      <c r="P40" s="8" t="n"/>
      <c r="Q40" s="8" t="n"/>
      <c r="R40" s="8" t="n"/>
      <c r="S40" s="23" t="inlineStr">
        <is>
          <t>La comunicación no es consistente con los registros de servicio</t>
        </is>
      </c>
      <c r="T40" s="8" t="n"/>
      <c r="U40" s="8" t="n"/>
      <c r="V40" s="8" t="n"/>
      <c r="W40" s="8" t="n"/>
      <c r="X40" s="8" t="n"/>
      <c r="Y40" s="8" t="n"/>
      <c r="Z40" s="8" t="n"/>
      <c r="AA40" s="8" t="n"/>
      <c r="AB40" s="8" t="n"/>
      <c r="AC40" s="8" t="n"/>
      <c r="AD40" s="8" t="n"/>
      <c r="AE40" s="8" t="n"/>
    </row>
    <row r="41" ht="28" customHeight="1">
      <c r="A41" s="7" t="inlineStr">
        <is>
          <t>H7. La nueva interfaz del SO y del control remoto genera dificultades de uso.</t>
        </is>
      </c>
    </row>
    <row r="42">
      <c r="A42" s="8" t="inlineStr">
        <is>
          <t>H7</t>
        </is>
      </c>
      <c r="B42" s="9" t="inlineStr">
        <is>
          <t>Tareas que generan más errores</t>
        </is>
      </c>
      <c r="C42" s="9" t="inlineStr">
        <is>
          <t>Tareas que generan más errores</t>
        </is>
      </c>
      <c r="D42" s="9" t="n"/>
      <c r="E42" s="9" t="inlineStr">
        <is>
          <t>N - El cliente no intentó usar el control remoto</t>
        </is>
      </c>
      <c r="F42" s="8" t="inlineStr">
        <is>
          <t>N</t>
        </is>
      </c>
      <c r="G42" s="8" t="inlineStr">
        <is>
          <t>N/A</t>
        </is>
      </c>
      <c r="H42" s="8" t="inlineStr">
        <is>
          <t>N/A</t>
        </is>
      </c>
      <c r="I42" s="8" t="inlineStr">
        <is>
          <t>N</t>
        </is>
      </c>
      <c r="J42" s="8" t="inlineStr">
        <is>
          <t>N</t>
        </is>
      </c>
      <c r="K42" s="18" t="inlineStr">
        <is>
          <t>N</t>
        </is>
      </c>
      <c r="L42" s="8" t="inlineStr">
        <is>
          <t>N</t>
        </is>
      </c>
      <c r="M42" s="8" t="inlineStr">
        <is>
          <t>N</t>
        </is>
      </c>
      <c r="N42" s="8" t="inlineStr">
        <is>
          <t>N</t>
        </is>
      </c>
      <c r="O42" s="8" t="inlineStr">
        <is>
          <t>N</t>
        </is>
      </c>
      <c r="P42" s="8" t="inlineStr">
        <is>
          <t>N</t>
        </is>
      </c>
      <c r="Q42" s="8" t="inlineStr">
        <is>
          <t>N</t>
        </is>
      </c>
      <c r="R42" s="8" t="inlineStr">
        <is>
          <t>N</t>
        </is>
      </c>
      <c r="S42" s="18" t="inlineStr">
        <is>
          <t>N</t>
        </is>
      </c>
      <c r="T42" s="8" t="inlineStr">
        <is>
          <t>N</t>
        </is>
      </c>
      <c r="U42" s="9" t="inlineStr">
        <is>
          <t>N - El cliente no intentó usar el control remoto</t>
        </is>
      </c>
      <c r="V42" s="8" t="inlineStr">
        <is>
          <t>N/A</t>
        </is>
      </c>
      <c r="W42" s="8" t="inlineStr">
        <is>
          <t>N/A</t>
        </is>
      </c>
      <c r="X42" s="8" t="inlineStr">
        <is>
          <t>N/A</t>
        </is>
      </c>
      <c r="Y42" s="8" t="inlineStr">
        <is>
          <t>N/A</t>
        </is>
      </c>
      <c r="Z42" s="8" t="inlineStr">
        <is>
          <t>N/A</t>
        </is>
      </c>
      <c r="AA42" s="9" t="inlineStr">
        <is>
          <t>N - El cliente no intentó usar el control remoto</t>
        </is>
      </c>
      <c r="AB42" s="8" t="inlineStr">
        <is>
          <t>N/A</t>
        </is>
      </c>
      <c r="AC42" s="8" t="inlineStr">
        <is>
          <t>N/A</t>
        </is>
      </c>
      <c r="AD42" s="8" t="inlineStr">
        <is>
          <t>N/A</t>
        </is>
      </c>
      <c r="AE42" s="9" t="inlineStr">
        <is>
          <t>N - El cliente no intentó usar el control remoto</t>
        </is>
      </c>
    </row>
    <row r="43">
      <c r="A43" s="8" t="inlineStr">
        <is>
          <t>H7</t>
        </is>
      </c>
      <c r="B43" s="9" t="inlineStr">
        <is>
          <t>Botones más confusos</t>
        </is>
      </c>
      <c r="C43" s="9" t="inlineStr">
        <is>
          <t>Botones más confusos</t>
        </is>
      </c>
      <c r="D43" s="9" t="n"/>
      <c r="E43" s="8" t="inlineStr">
        <is>
          <t>N/A</t>
        </is>
      </c>
      <c r="F43" s="8" t="inlineStr">
        <is>
          <t>N</t>
        </is>
      </c>
      <c r="G43" s="8" t="inlineStr">
        <is>
          <t>N/A</t>
        </is>
      </c>
      <c r="H43" s="8" t="inlineStr">
        <is>
          <t>N/A</t>
        </is>
      </c>
      <c r="I43" s="8" t="inlineStr">
        <is>
          <t>N</t>
        </is>
      </c>
      <c r="J43" s="9" t="inlineStr">
        <is>
          <t>Acceso a la grilla</t>
        </is>
      </c>
      <c r="K43" s="18" t="inlineStr">
        <is>
          <t>Home</t>
        </is>
      </c>
      <c r="L43" s="9" t="inlineStr">
        <is>
          <t>Home / accesos directos, grilla</t>
        </is>
      </c>
      <c r="M43" s="9" t="inlineStr">
        <is>
          <t>Menú / Guía, accesos directos, YouTube</t>
        </is>
      </c>
      <c r="N43" s="8" t="inlineStr">
        <is>
          <t>N</t>
        </is>
      </c>
      <c r="O43" s="9" t="inlineStr">
        <is>
          <t>Le llamaron la atención los botones de acceso directo</t>
        </is>
      </c>
      <c r="P43" s="8" t="inlineStr">
        <is>
          <t>N</t>
        </is>
      </c>
      <c r="Q43" s="8" t="inlineStr">
        <is>
          <t>N</t>
        </is>
      </c>
      <c r="R43" s="8" t="inlineStr">
        <is>
          <t>N</t>
        </is>
      </c>
      <c r="S43" s="18" t="inlineStr">
        <is>
          <t>N</t>
        </is>
      </c>
      <c r="T43" s="8" t="inlineStr">
        <is>
          <t>N</t>
        </is>
      </c>
      <c r="U43" s="9" t="inlineStr">
        <is>
          <t>Vio como positivos los accesos directos</t>
        </is>
      </c>
      <c r="V43" s="8" t="inlineStr">
        <is>
          <t>N/A</t>
        </is>
      </c>
      <c r="W43" s="8" t="inlineStr">
        <is>
          <t>N/A</t>
        </is>
      </c>
      <c r="X43" s="8" t="inlineStr">
        <is>
          <t>N/A</t>
        </is>
      </c>
      <c r="Y43" s="8" t="inlineStr">
        <is>
          <t>N/A</t>
        </is>
      </c>
      <c r="Z43" s="8" t="inlineStr">
        <is>
          <t>N/A</t>
        </is>
      </c>
      <c r="AA43" s="8" t="inlineStr">
        <is>
          <t>N/A</t>
        </is>
      </c>
      <c r="AB43" s="9" t="inlineStr">
        <is>
          <t>Le gustó que la luz del deco no quede encendida</t>
        </is>
      </c>
      <c r="AC43" s="8" t="inlineStr">
        <is>
          <t>N/A</t>
        </is>
      </c>
      <c r="AD43" s="8" t="inlineStr">
        <is>
          <t>N/A</t>
        </is>
      </c>
      <c r="AE43" s="8" t="inlineStr">
        <is>
          <t>N/A</t>
        </is>
      </c>
    </row>
    <row r="44">
      <c r="A44" s="8" t="inlineStr">
        <is>
          <t>H7</t>
        </is>
      </c>
      <c r="B44" s="9" t="inlineStr">
        <is>
          <t>Cantidad de asistencias necesarias</t>
        </is>
      </c>
      <c r="C44" s="9" t="inlineStr">
        <is>
          <t>Cantidad de asistencias necesarias</t>
        </is>
      </c>
      <c r="D44" s="9" t="n"/>
      <c r="E44" s="8" t="inlineStr">
        <is>
          <t>N/A</t>
        </is>
      </c>
      <c r="F44" s="8" t="inlineStr">
        <is>
          <t>N/A</t>
        </is>
      </c>
      <c r="G44" s="8" t="inlineStr">
        <is>
          <t>N/A</t>
        </is>
      </c>
      <c r="H44" s="8" t="inlineStr">
        <is>
          <t>N/A</t>
        </is>
      </c>
      <c r="I44" s="9" t="inlineStr">
        <is>
          <t>Consultó uso, menú, otras apps</t>
        </is>
      </c>
      <c r="J44" s="8" t="inlineStr">
        <is>
          <t>N/A</t>
        </is>
      </c>
      <c r="K44" s="18" t="inlineStr">
        <is>
          <t>N</t>
        </is>
      </c>
      <c r="L44" s="8" t="inlineStr">
        <is>
          <t>N/A</t>
        </is>
      </c>
      <c r="M44" s="9" t="inlineStr">
        <is>
          <t>YouTube, Netflix, etc.</t>
        </is>
      </c>
      <c r="N44" s="8" t="inlineStr">
        <is>
          <t>N/A</t>
        </is>
      </c>
      <c r="O44" s="8" t="inlineStr">
        <is>
          <t>N</t>
        </is>
      </c>
      <c r="P44" s="8" t="inlineStr">
        <is>
          <t>N</t>
        </is>
      </c>
      <c r="Q44" s="8" t="inlineStr">
        <is>
          <t>N</t>
        </is>
      </c>
      <c r="R44" s="8" t="inlineStr">
        <is>
          <t>N</t>
        </is>
      </c>
      <c r="S44" s="18" t="inlineStr">
        <is>
          <t>N</t>
        </is>
      </c>
      <c r="T44" s="8" t="inlineStr">
        <is>
          <t>N</t>
        </is>
      </c>
      <c r="U44" s="8" t="inlineStr">
        <is>
          <t>N</t>
        </is>
      </c>
      <c r="V44" s="8" t="inlineStr">
        <is>
          <t>N</t>
        </is>
      </c>
      <c r="W44" s="8" t="inlineStr">
        <is>
          <t>N</t>
        </is>
      </c>
      <c r="X44" s="8" t="inlineStr">
        <is>
          <t>N</t>
        </is>
      </c>
      <c r="Y44" s="8" t="inlineStr">
        <is>
          <t>N</t>
        </is>
      </c>
      <c r="Z44" s="8" t="inlineStr">
        <is>
          <t>N</t>
        </is>
      </c>
      <c r="AA44" s="8" t="inlineStr">
        <is>
          <t>N</t>
        </is>
      </c>
      <c r="AB44" s="8" t="inlineStr">
        <is>
          <t>N</t>
        </is>
      </c>
      <c r="AC44" s="8" t="inlineStr">
        <is>
          <t>N</t>
        </is>
      </c>
      <c r="AD44" s="8" t="inlineStr">
        <is>
          <t>N</t>
        </is>
      </c>
      <c r="AE44" s="8" t="inlineStr">
        <is>
          <t>N</t>
        </is>
      </c>
    </row>
    <row r="45">
      <c r="A45" s="8" t="inlineStr">
        <is>
          <t>H7</t>
        </is>
      </c>
      <c r="B45" s="9" t="inlineStr">
        <is>
          <t>El cliente no reconoce funcionalidades del control remoto</t>
        </is>
      </c>
      <c r="C45" s="25" t="inlineStr">
        <is>
          <t>El cliente reconoce las funcionalidades del control remoto</t>
        </is>
      </c>
      <c r="D45" s="15" t="inlineStr">
        <is>
          <t>Polaridad a validar: con la redacción positiva, 'Consultó por accesos directos' (V05, V21) convive con S en casos similares. Confirmar con el observador.</t>
        </is>
      </c>
      <c r="E45" s="8" t="inlineStr">
        <is>
          <t>N/A</t>
        </is>
      </c>
      <c r="F45" s="8" t="inlineStr">
        <is>
          <t>S</t>
        </is>
      </c>
      <c r="G45" s="8" t="inlineStr">
        <is>
          <t>N/A</t>
        </is>
      </c>
      <c r="H45" s="8" t="inlineStr">
        <is>
          <t>N/A</t>
        </is>
      </c>
      <c r="I45" s="9" t="inlineStr">
        <is>
          <t>Consultó por accesos directos</t>
        </is>
      </c>
      <c r="J45" s="8" t="inlineStr">
        <is>
          <t>N/A</t>
        </is>
      </c>
      <c r="K45" s="18" t="n"/>
      <c r="L45" s="8" t="inlineStr">
        <is>
          <t>S</t>
        </is>
      </c>
      <c r="M45" s="8" t="inlineStr">
        <is>
          <t>S</t>
        </is>
      </c>
      <c r="N45" s="8" t="inlineStr">
        <is>
          <t>N/A</t>
        </is>
      </c>
      <c r="O45" s="8" t="inlineStr">
        <is>
          <t>N</t>
        </is>
      </c>
      <c r="P45" s="8" t="inlineStr">
        <is>
          <t>N/A</t>
        </is>
      </c>
      <c r="Q45" s="8" t="inlineStr">
        <is>
          <t>N/A</t>
        </is>
      </c>
      <c r="R45" s="8" t="inlineStr">
        <is>
          <t>N</t>
        </is>
      </c>
      <c r="S45" s="18" t="inlineStr">
        <is>
          <t>N</t>
        </is>
      </c>
      <c r="T45" s="8" t="inlineStr">
        <is>
          <t>N</t>
        </is>
      </c>
      <c r="U45" s="8" t="inlineStr">
        <is>
          <t>N/A</t>
        </is>
      </c>
      <c r="V45" s="8" t="inlineStr">
        <is>
          <t>S</t>
        </is>
      </c>
      <c r="W45" s="8" t="inlineStr">
        <is>
          <t>N/A</t>
        </is>
      </c>
      <c r="X45" s="8" t="inlineStr">
        <is>
          <t>N/A</t>
        </is>
      </c>
      <c r="Y45" s="9" t="inlineStr">
        <is>
          <t>Consultó por accesos directos</t>
        </is>
      </c>
      <c r="Z45" s="8" t="inlineStr">
        <is>
          <t>S</t>
        </is>
      </c>
      <c r="AA45" s="8" t="inlineStr">
        <is>
          <t>S</t>
        </is>
      </c>
      <c r="AB45" s="8" t="inlineStr">
        <is>
          <t>S</t>
        </is>
      </c>
      <c r="AC45" s="8" t="inlineStr">
        <is>
          <t>N/A</t>
        </is>
      </c>
      <c r="AD45" s="8" t="inlineStr">
        <is>
          <t>N/A</t>
        </is>
      </c>
      <c r="AE45" s="8" t="inlineStr">
        <is>
          <t>N/A</t>
        </is>
      </c>
    </row>
    <row r="46">
      <c r="A46" s="8" t="inlineStr">
        <is>
          <t>H7</t>
        </is>
      </c>
      <c r="B46" s="9" t="inlineStr">
        <is>
          <t>El cliente no logra ver el contenido</t>
        </is>
      </c>
      <c r="C46" s="20" t="inlineStr">
        <is>
          <t>El cliente logra ver el contenido</t>
        </is>
      </c>
      <c r="D46" s="9" t="n"/>
      <c r="E46" s="8" t="inlineStr">
        <is>
          <t>S</t>
        </is>
      </c>
      <c r="F46" s="8" t="inlineStr">
        <is>
          <t>S</t>
        </is>
      </c>
      <c r="G46" s="8" t="inlineStr">
        <is>
          <t>S</t>
        </is>
      </c>
      <c r="H46" s="8" t="inlineStr">
        <is>
          <t>S</t>
        </is>
      </c>
      <c r="I46" s="8" t="inlineStr">
        <is>
          <t>S</t>
        </is>
      </c>
      <c r="J46" s="8" t="inlineStr">
        <is>
          <t>S</t>
        </is>
      </c>
      <c r="K46" s="18" t="inlineStr">
        <is>
          <t>S</t>
        </is>
      </c>
      <c r="L46" s="8" t="inlineStr">
        <is>
          <t>S</t>
        </is>
      </c>
      <c r="M46" s="8" t="inlineStr">
        <is>
          <t>S</t>
        </is>
      </c>
      <c r="N46" s="8" t="inlineStr">
        <is>
          <t>S</t>
        </is>
      </c>
      <c r="O46" s="8" t="inlineStr">
        <is>
          <t>S</t>
        </is>
      </c>
      <c r="P46" s="8" t="inlineStr">
        <is>
          <t>S</t>
        </is>
      </c>
      <c r="Q46" s="8" t="inlineStr">
        <is>
          <t>S</t>
        </is>
      </c>
      <c r="R46" s="8" t="inlineStr">
        <is>
          <t>S</t>
        </is>
      </c>
      <c r="S46" s="18" t="inlineStr">
        <is>
          <t>N</t>
        </is>
      </c>
      <c r="T46" s="8" t="inlineStr">
        <is>
          <t>S</t>
        </is>
      </c>
      <c r="U46" s="8" t="inlineStr">
        <is>
          <t>S</t>
        </is>
      </c>
      <c r="V46" s="8" t="inlineStr">
        <is>
          <t>S</t>
        </is>
      </c>
      <c r="W46" s="8" t="inlineStr">
        <is>
          <t>S</t>
        </is>
      </c>
      <c r="X46" s="8" t="inlineStr">
        <is>
          <t>S</t>
        </is>
      </c>
      <c r="Y46" s="8" t="inlineStr">
        <is>
          <t>S</t>
        </is>
      </c>
      <c r="Z46" s="8" t="inlineStr">
        <is>
          <t>S</t>
        </is>
      </c>
      <c r="AA46" s="8" t="inlineStr">
        <is>
          <t>S</t>
        </is>
      </c>
      <c r="AB46" s="8" t="inlineStr">
        <is>
          <t>S</t>
        </is>
      </c>
      <c r="AC46" s="8" t="inlineStr">
        <is>
          <t>S</t>
        </is>
      </c>
      <c r="AD46" s="8" t="inlineStr">
        <is>
          <t>S</t>
        </is>
      </c>
      <c r="AE46" s="8" t="inlineStr">
        <is>
          <t>S</t>
        </is>
      </c>
    </row>
    <row r="47">
      <c r="A47" s="8" t="inlineStr">
        <is>
          <t>H7</t>
        </is>
      </c>
      <c r="B47" s="9" t="inlineStr">
        <is>
          <t>El cliente no logra ver las suscripciones</t>
        </is>
      </c>
      <c r="C47" s="25" t="inlineStr">
        <is>
          <t>El cliente logra ver las suscripciones</t>
        </is>
      </c>
      <c r="D47" s="15" t="inlineStr">
        <is>
          <t>Polaridad a validar en V14-V27: N con la redacción positiva indicaría que no las ve, pero no hay notas de problema (probablemente sin suscripciones contratadas).</t>
        </is>
      </c>
      <c r="E47" s="8" t="inlineStr">
        <is>
          <t>N/A</t>
        </is>
      </c>
      <c r="F47" s="8" t="inlineStr">
        <is>
          <t>N/A</t>
        </is>
      </c>
      <c r="G47" s="8" t="inlineStr">
        <is>
          <t>N/A</t>
        </is>
      </c>
      <c r="H47" s="8" t="inlineStr">
        <is>
          <t>N/A</t>
        </is>
      </c>
      <c r="I47" s="8" t="inlineStr">
        <is>
          <t>S</t>
        </is>
      </c>
      <c r="J47" s="8" t="inlineStr">
        <is>
          <t>N/A</t>
        </is>
      </c>
      <c r="K47" s="18" t="inlineStr">
        <is>
          <t>N/A</t>
        </is>
      </c>
      <c r="L47" s="8" t="inlineStr">
        <is>
          <t>N/A</t>
        </is>
      </c>
      <c r="M47" s="8" t="inlineStr">
        <is>
          <t>S</t>
        </is>
      </c>
      <c r="N47" s="8" t="inlineStr">
        <is>
          <t>N/A</t>
        </is>
      </c>
      <c r="O47" s="9" t="inlineStr">
        <is>
          <t>Pack fútbol</t>
        </is>
      </c>
      <c r="P47" s="8" t="inlineStr">
        <is>
          <t>N/A</t>
        </is>
      </c>
      <c r="Q47" s="8" t="inlineStr">
        <is>
          <t>N/A</t>
        </is>
      </c>
      <c r="R47" s="8" t="inlineStr">
        <is>
          <t>N</t>
        </is>
      </c>
      <c r="S47" s="18" t="inlineStr">
        <is>
          <t>N</t>
        </is>
      </c>
      <c r="T47" s="8" t="inlineStr">
        <is>
          <t>N</t>
        </is>
      </c>
      <c r="U47" s="8" t="inlineStr">
        <is>
          <t>N</t>
        </is>
      </c>
      <c r="V47" s="8" t="inlineStr">
        <is>
          <t>N</t>
        </is>
      </c>
      <c r="W47" s="8" t="inlineStr">
        <is>
          <t>N</t>
        </is>
      </c>
      <c r="X47" s="8" t="inlineStr">
        <is>
          <t>N</t>
        </is>
      </c>
      <c r="Y47" s="8" t="inlineStr">
        <is>
          <t>N</t>
        </is>
      </c>
      <c r="Z47" s="8" t="inlineStr">
        <is>
          <t>N</t>
        </is>
      </c>
      <c r="AA47" s="8" t="inlineStr">
        <is>
          <t>N</t>
        </is>
      </c>
      <c r="AB47" s="8" t="inlineStr">
        <is>
          <t>N</t>
        </is>
      </c>
      <c r="AC47" s="8" t="inlineStr">
        <is>
          <t>N</t>
        </is>
      </c>
      <c r="AD47" s="8" t="inlineStr">
        <is>
          <t>N</t>
        </is>
      </c>
      <c r="AE47" s="8" t="inlineStr">
        <is>
          <t>N</t>
        </is>
      </c>
    </row>
    <row r="48">
      <c r="A48" s="8" t="inlineStr">
        <is>
          <t>H7</t>
        </is>
      </c>
      <c r="B48" s="9" t="inlineStr">
        <is>
          <t>El cliente no logra ver datos de perfil</t>
        </is>
      </c>
      <c r="C48" s="20" t="inlineStr">
        <is>
          <t>El cliente logra ver datos de perfil</t>
        </is>
      </c>
      <c r="D48" s="9" t="n"/>
      <c r="E48" s="8" t="inlineStr">
        <is>
          <t>S</t>
        </is>
      </c>
      <c r="F48" s="8" t="inlineStr">
        <is>
          <t>S</t>
        </is>
      </c>
      <c r="G48" s="8" t="inlineStr">
        <is>
          <t>S</t>
        </is>
      </c>
      <c r="H48" s="8" t="inlineStr">
        <is>
          <t>S</t>
        </is>
      </c>
      <c r="I48" s="8" t="inlineStr">
        <is>
          <t>S</t>
        </is>
      </c>
      <c r="J48" s="8" t="inlineStr">
        <is>
          <t>S</t>
        </is>
      </c>
      <c r="K48" s="18" t="inlineStr">
        <is>
          <t>S</t>
        </is>
      </c>
      <c r="L48" s="8" t="inlineStr">
        <is>
          <t>S</t>
        </is>
      </c>
      <c r="M48" s="8" t="inlineStr">
        <is>
          <t>S</t>
        </is>
      </c>
      <c r="N48" s="8" t="inlineStr">
        <is>
          <t>S</t>
        </is>
      </c>
      <c r="O48" s="8" t="inlineStr">
        <is>
          <t>S</t>
        </is>
      </c>
      <c r="P48" s="8" t="inlineStr">
        <is>
          <t>S</t>
        </is>
      </c>
      <c r="Q48" s="8" t="inlineStr">
        <is>
          <t>S</t>
        </is>
      </c>
      <c r="R48" s="8" t="inlineStr">
        <is>
          <t>S</t>
        </is>
      </c>
      <c r="S48" s="18" t="inlineStr">
        <is>
          <t>S</t>
        </is>
      </c>
      <c r="T48" s="8" t="inlineStr">
        <is>
          <t>S</t>
        </is>
      </c>
      <c r="U48" s="8" t="inlineStr">
        <is>
          <t>S</t>
        </is>
      </c>
      <c r="V48" s="8" t="inlineStr">
        <is>
          <t>S</t>
        </is>
      </c>
      <c r="W48" s="8" t="inlineStr">
        <is>
          <t>S</t>
        </is>
      </c>
      <c r="X48" s="8" t="inlineStr">
        <is>
          <t>S</t>
        </is>
      </c>
      <c r="Y48" s="8" t="inlineStr">
        <is>
          <t>S</t>
        </is>
      </c>
      <c r="Z48" s="8" t="inlineStr">
        <is>
          <t>S</t>
        </is>
      </c>
      <c r="AA48" s="8" t="inlineStr">
        <is>
          <t>S</t>
        </is>
      </c>
      <c r="AB48" s="8" t="inlineStr">
        <is>
          <t>S</t>
        </is>
      </c>
      <c r="AC48" s="8" t="inlineStr">
        <is>
          <t>S</t>
        </is>
      </c>
      <c r="AD48" s="8" t="inlineStr">
        <is>
          <t>S</t>
        </is>
      </c>
      <c r="AE48" s="8" t="inlineStr">
        <is>
          <t>S</t>
        </is>
      </c>
    </row>
    <row r="49" ht="28" customHeight="1">
      <c r="A49" s="7" t="inlineStr">
        <is>
          <t>H8. La nueva interfaz del SO y del control remoto genera frustración en la adopción.</t>
        </is>
      </c>
    </row>
    <row r="50">
      <c r="A50" s="8" t="inlineStr">
        <is>
          <t>H8</t>
        </is>
      </c>
      <c r="B50" s="9" t="inlineStr">
        <is>
          <t>Frases como "antes era más fácil" o "ahora es más fácil"</t>
        </is>
      </c>
      <c r="C50" s="9" t="inlineStr">
        <is>
          <t>Frases como "antes era más fácil" o "ahora es más fácil"</t>
        </is>
      </c>
      <c r="D50" s="9" t="n"/>
      <c r="E50" s="8" t="inlineStr">
        <is>
          <t>N</t>
        </is>
      </c>
      <c r="F50" s="8" t="inlineStr">
        <is>
          <t>N</t>
        </is>
      </c>
      <c r="G50" s="8" t="inlineStr">
        <is>
          <t>N</t>
        </is>
      </c>
      <c r="H50" s="8" t="inlineStr">
        <is>
          <t>N</t>
        </is>
      </c>
      <c r="I50" s="9" t="inlineStr">
        <is>
          <t>"Me costó el anterior, este parece igual"</t>
        </is>
      </c>
      <c r="J50" s="9" t="inlineStr">
        <is>
          <t>"Este nuevo deco es más chico"</t>
        </is>
      </c>
      <c r="K50" s="18" t="inlineStr">
        <is>
          <t>N</t>
        </is>
      </c>
      <c r="L50" s="9" t="inlineStr">
        <is>
          <t>"Es más chico"</t>
        </is>
      </c>
      <c r="M50" s="9" t="inlineStr">
        <is>
          <t>Es igual al anterior, más chico; tiene accesos directos. Preguntó por ventajas y diferencias con el anterior</t>
        </is>
      </c>
      <c r="N50" s="8" t="inlineStr">
        <is>
          <t>N</t>
        </is>
      </c>
      <c r="O50" s="8" t="inlineStr">
        <is>
          <t>N</t>
        </is>
      </c>
      <c r="P50" s="9" t="inlineStr">
        <is>
          <t>"Ah, es más nuevo..." "¿Se llevan el viejo?"</t>
        </is>
      </c>
      <c r="Q50" s="8" t="inlineStr">
        <is>
          <t>N</t>
        </is>
      </c>
      <c r="R50" s="8" t="inlineStr">
        <is>
          <t>N</t>
        </is>
      </c>
      <c r="S50" s="18" t="inlineStr">
        <is>
          <t>N</t>
        </is>
      </c>
      <c r="T50" s="8" t="inlineStr">
        <is>
          <t>N</t>
        </is>
      </c>
      <c r="U50" s="8" t="inlineStr">
        <is>
          <t>N</t>
        </is>
      </c>
      <c r="V50" s="8" t="inlineStr">
        <is>
          <t>N</t>
        </is>
      </c>
      <c r="W50" s="8" t="inlineStr">
        <is>
          <t>N</t>
        </is>
      </c>
      <c r="X50" s="8" t="inlineStr">
        <is>
          <t>N</t>
        </is>
      </c>
      <c r="Y50" s="8" t="inlineStr">
        <is>
          <t>N</t>
        </is>
      </c>
      <c r="Z50" s="8" t="inlineStr">
        <is>
          <t>N</t>
        </is>
      </c>
      <c r="AA50" s="8" t="inlineStr">
        <is>
          <t>N</t>
        </is>
      </c>
      <c r="AB50" s="8" t="inlineStr">
        <is>
          <t>N</t>
        </is>
      </c>
      <c r="AC50" s="8" t="inlineStr">
        <is>
          <t>N</t>
        </is>
      </c>
      <c r="AD50" s="8" t="inlineStr">
        <is>
          <t>N</t>
        </is>
      </c>
      <c r="AE50" s="8" t="inlineStr">
        <is>
          <t>N</t>
        </is>
      </c>
    </row>
    <row r="51">
      <c r="A51" s="8" t="inlineStr">
        <is>
          <t>H8</t>
        </is>
      </c>
      <c r="B51" s="9" t="inlineStr">
        <is>
          <t>Señales (gestos, muecas, expresiones) de resistencia al cambio</t>
        </is>
      </c>
      <c r="C51" s="9" t="inlineStr">
        <is>
          <t>Señales (gestos, muecas, expresiones) de resistencia al cambio</t>
        </is>
      </c>
      <c r="D51" s="9" t="n"/>
      <c r="E51" s="8" t="inlineStr">
        <is>
          <t>N</t>
        </is>
      </c>
      <c r="F51" s="8" t="inlineStr">
        <is>
          <t>N</t>
        </is>
      </c>
      <c r="G51" s="8" t="inlineStr">
        <is>
          <t>N</t>
        </is>
      </c>
      <c r="H51" s="8" t="inlineStr">
        <is>
          <t>N</t>
        </is>
      </c>
      <c r="I51" s="8" t="inlineStr">
        <is>
          <t>N</t>
        </is>
      </c>
      <c r="J51" s="8" t="inlineStr">
        <is>
          <t>N</t>
        </is>
      </c>
      <c r="K51" s="18" t="inlineStr">
        <is>
          <t>N</t>
        </is>
      </c>
      <c r="L51" s="8" t="inlineStr">
        <is>
          <t>N</t>
        </is>
      </c>
      <c r="M51" s="8" t="inlineStr">
        <is>
          <t>N</t>
        </is>
      </c>
      <c r="N51" s="8" t="inlineStr">
        <is>
          <t>N</t>
        </is>
      </c>
      <c r="O51" s="8" t="inlineStr">
        <is>
          <t>N</t>
        </is>
      </c>
      <c r="P51" s="8" t="inlineStr">
        <is>
          <t>N</t>
        </is>
      </c>
      <c r="Q51" s="8" t="inlineStr">
        <is>
          <t>N</t>
        </is>
      </c>
      <c r="R51" s="8" t="inlineStr">
        <is>
          <t>N</t>
        </is>
      </c>
      <c r="S51" s="18" t="inlineStr">
        <is>
          <t>N</t>
        </is>
      </c>
      <c r="T51" s="8" t="inlineStr">
        <is>
          <t>N</t>
        </is>
      </c>
      <c r="U51" s="8" t="inlineStr">
        <is>
          <t>N</t>
        </is>
      </c>
      <c r="V51" s="8" t="inlineStr">
        <is>
          <t>N</t>
        </is>
      </c>
      <c r="W51" s="8" t="inlineStr">
        <is>
          <t>N</t>
        </is>
      </c>
      <c r="X51" s="8" t="inlineStr">
        <is>
          <t>N</t>
        </is>
      </c>
      <c r="Y51" s="8" t="inlineStr">
        <is>
          <t>N</t>
        </is>
      </c>
      <c r="Z51" s="8" t="inlineStr">
        <is>
          <t>N</t>
        </is>
      </c>
      <c r="AA51" s="8" t="inlineStr">
        <is>
          <t>N</t>
        </is>
      </c>
      <c r="AB51" s="8" t="inlineStr">
        <is>
          <t>N</t>
        </is>
      </c>
      <c r="AC51" s="8" t="inlineStr">
        <is>
          <t>N</t>
        </is>
      </c>
      <c r="AD51" s="8" t="inlineStr">
        <is>
          <t>N</t>
        </is>
      </c>
      <c r="AE51" s="8" t="inlineStr">
        <is>
          <t>N</t>
        </is>
      </c>
    </row>
    <row r="52">
      <c r="A52" s="8" t="inlineStr">
        <is>
          <t>H8</t>
        </is>
      </c>
      <c r="B52" s="9" t="inlineStr">
        <is>
          <t>Inseguridad manifiesta ("voy a necesitar ayuda", "no creo que pueda")</t>
        </is>
      </c>
      <c r="C52" s="9" t="inlineStr">
        <is>
          <t>Inseguridad manifiesta ("voy a necesitar ayuda", "no creo que pueda")</t>
        </is>
      </c>
      <c r="D52" s="9" t="n"/>
      <c r="E52" s="8" t="inlineStr">
        <is>
          <t>N</t>
        </is>
      </c>
      <c r="F52" s="8" t="inlineStr">
        <is>
          <t>N</t>
        </is>
      </c>
      <c r="G52" s="8" t="inlineStr">
        <is>
          <t>N</t>
        </is>
      </c>
      <c r="H52" s="8" t="inlineStr">
        <is>
          <t>N</t>
        </is>
      </c>
      <c r="I52" s="9" t="inlineStr">
        <is>
          <t>Ayuda de la hija luego</t>
        </is>
      </c>
      <c r="J52" s="8" t="inlineStr">
        <is>
          <t>N</t>
        </is>
      </c>
      <c r="K52" s="18" t="inlineStr">
        <is>
          <t>N</t>
        </is>
      </c>
      <c r="L52" s="8" t="inlineStr">
        <is>
          <t>N</t>
        </is>
      </c>
      <c r="M52" s="8" t="inlineStr">
        <is>
          <t>N</t>
        </is>
      </c>
      <c r="N52" s="8" t="inlineStr">
        <is>
          <t>N</t>
        </is>
      </c>
      <c r="O52" s="8" t="inlineStr">
        <is>
          <t>N</t>
        </is>
      </c>
      <c r="P52" s="8" t="inlineStr">
        <is>
          <t>N</t>
        </is>
      </c>
      <c r="Q52" s="8" t="inlineStr">
        <is>
          <t>N</t>
        </is>
      </c>
      <c r="R52" s="8" t="inlineStr">
        <is>
          <t>N</t>
        </is>
      </c>
      <c r="S52" s="18" t="inlineStr">
        <is>
          <t>N</t>
        </is>
      </c>
      <c r="T52" s="8" t="inlineStr">
        <is>
          <t>N</t>
        </is>
      </c>
      <c r="U52" s="8" t="inlineStr">
        <is>
          <t>N</t>
        </is>
      </c>
      <c r="V52" s="8" t="inlineStr">
        <is>
          <t>N</t>
        </is>
      </c>
      <c r="W52" s="8" t="inlineStr">
        <is>
          <t>N</t>
        </is>
      </c>
      <c r="X52" s="8" t="inlineStr">
        <is>
          <t>N</t>
        </is>
      </c>
      <c r="Y52" s="8" t="inlineStr">
        <is>
          <t>N</t>
        </is>
      </c>
      <c r="Z52" s="8" t="inlineStr">
        <is>
          <t>N</t>
        </is>
      </c>
      <c r="AA52" s="8" t="inlineStr">
        <is>
          <t>N</t>
        </is>
      </c>
      <c r="AB52" s="8" t="inlineStr">
        <is>
          <t>N</t>
        </is>
      </c>
      <c r="AC52" s="8" t="inlineStr">
        <is>
          <t>N</t>
        </is>
      </c>
      <c r="AD52" s="8" t="inlineStr">
        <is>
          <t>N</t>
        </is>
      </c>
      <c r="AE52" s="8" t="inlineStr">
        <is>
          <t>N</t>
        </is>
      </c>
    </row>
    <row r="53">
      <c r="A53" s="8" t="inlineStr">
        <is>
          <t>H8</t>
        </is>
      </c>
      <c r="B53" s="9" t="inlineStr">
        <is>
          <t>El cliente requiere asistencia permanente del técnico (falta de autonomía)</t>
        </is>
      </c>
      <c r="C53" s="9" t="inlineStr">
        <is>
          <t>El cliente requiere asistencia permanente del técnico (falta de autonomía)</t>
        </is>
      </c>
      <c r="D53" s="9" t="n"/>
      <c r="E53" s="8" t="inlineStr">
        <is>
          <t>N</t>
        </is>
      </c>
      <c r="F53" s="8" t="inlineStr">
        <is>
          <t>N</t>
        </is>
      </c>
      <c r="G53" s="8" t="inlineStr">
        <is>
          <t>N</t>
        </is>
      </c>
      <c r="H53" s="8" t="inlineStr">
        <is>
          <t>N</t>
        </is>
      </c>
      <c r="I53" s="9" t="inlineStr">
        <is>
          <t>Antes de irse el técnico, pidió probar todo, que todo funcione y que mostremos cómo se veía</t>
        </is>
      </c>
      <c r="J53" s="8" t="inlineStr">
        <is>
          <t>N</t>
        </is>
      </c>
      <c r="K53" s="18" t="inlineStr">
        <is>
          <t>N</t>
        </is>
      </c>
      <c r="L53" s="8" t="inlineStr">
        <is>
          <t>N</t>
        </is>
      </c>
      <c r="M53" s="8" t="inlineStr">
        <is>
          <t>N</t>
        </is>
      </c>
      <c r="N53" s="8" t="inlineStr">
        <is>
          <t>N</t>
        </is>
      </c>
      <c r="O53" s="8" t="inlineStr">
        <is>
          <t>N</t>
        </is>
      </c>
      <c r="P53" s="8" t="inlineStr">
        <is>
          <t>N</t>
        </is>
      </c>
      <c r="Q53" s="8" t="inlineStr">
        <is>
          <t>N</t>
        </is>
      </c>
      <c r="R53" s="8" t="inlineStr">
        <is>
          <t>N</t>
        </is>
      </c>
      <c r="S53" s="18" t="inlineStr">
        <is>
          <t>N</t>
        </is>
      </c>
      <c r="T53" s="8" t="inlineStr">
        <is>
          <t>N</t>
        </is>
      </c>
      <c r="U53" s="8" t="inlineStr">
        <is>
          <t>N</t>
        </is>
      </c>
      <c r="V53" s="8" t="inlineStr">
        <is>
          <t>N</t>
        </is>
      </c>
      <c r="W53" s="8" t="inlineStr">
        <is>
          <t>N</t>
        </is>
      </c>
      <c r="X53" s="8" t="inlineStr">
        <is>
          <t>N</t>
        </is>
      </c>
      <c r="Y53" s="8" t="inlineStr">
        <is>
          <t>N</t>
        </is>
      </c>
      <c r="Z53" s="8" t="inlineStr">
        <is>
          <t>N</t>
        </is>
      </c>
      <c r="AA53" s="8" t="inlineStr">
        <is>
          <t>N</t>
        </is>
      </c>
      <c r="AB53" s="8" t="inlineStr">
        <is>
          <t>N</t>
        </is>
      </c>
      <c r="AC53" s="8" t="inlineStr">
        <is>
          <t>N</t>
        </is>
      </c>
      <c r="AD53" s="8" t="inlineStr">
        <is>
          <t>N</t>
        </is>
      </c>
      <c r="AE53" s="8" t="inlineStr">
        <is>
          <t>N</t>
        </is>
      </c>
    </row>
    <row r="54">
      <c r="A54" s="8" t="inlineStr">
        <is>
          <t>H8</t>
        </is>
      </c>
      <c r="B54" s="9" t="inlineStr">
        <is>
          <t>El cliente manifiesta rechazo ante la nueva interfaz</t>
        </is>
      </c>
      <c r="C54" s="9" t="inlineStr">
        <is>
          <t>El cliente manifiesta rechazo ante la nueva interfaz</t>
        </is>
      </c>
      <c r="D54" s="9" t="n"/>
      <c r="E54" s="8" t="inlineStr">
        <is>
          <t>N</t>
        </is>
      </c>
      <c r="F54" s="8" t="inlineStr">
        <is>
          <t>N</t>
        </is>
      </c>
      <c r="G54" s="8" t="inlineStr">
        <is>
          <t>N</t>
        </is>
      </c>
      <c r="H54" s="8" t="inlineStr">
        <is>
          <t>N</t>
        </is>
      </c>
      <c r="I54" s="9" t="inlineStr">
        <is>
          <t>Los cambios de pantalla (UI) generan dudas</t>
        </is>
      </c>
      <c r="J54" s="8" t="inlineStr">
        <is>
          <t>N</t>
        </is>
      </c>
      <c r="K54" s="18" t="inlineStr">
        <is>
          <t>N</t>
        </is>
      </c>
      <c r="L54" s="8" t="inlineStr">
        <is>
          <t>N</t>
        </is>
      </c>
      <c r="M54" s="8" t="inlineStr">
        <is>
          <t>N</t>
        </is>
      </c>
      <c r="N54" s="8" t="inlineStr">
        <is>
          <t>N</t>
        </is>
      </c>
      <c r="O54" s="8" t="inlineStr">
        <is>
          <t>N</t>
        </is>
      </c>
      <c r="P54" s="8" t="inlineStr">
        <is>
          <t>N</t>
        </is>
      </c>
      <c r="Q54" s="8" t="inlineStr">
        <is>
          <t>N</t>
        </is>
      </c>
      <c r="R54" s="8" t="inlineStr">
        <is>
          <t>N</t>
        </is>
      </c>
      <c r="S54" s="18" t="inlineStr">
        <is>
          <t>N</t>
        </is>
      </c>
      <c r="T54" s="8" t="inlineStr">
        <is>
          <t>N</t>
        </is>
      </c>
      <c r="U54" s="8" t="inlineStr">
        <is>
          <t>N</t>
        </is>
      </c>
      <c r="V54" s="8" t="inlineStr">
        <is>
          <t>N</t>
        </is>
      </c>
      <c r="W54" s="8" t="inlineStr">
        <is>
          <t>N</t>
        </is>
      </c>
      <c r="X54" s="8" t="inlineStr">
        <is>
          <t>N</t>
        </is>
      </c>
      <c r="Y54" s="8" t="inlineStr">
        <is>
          <t>N</t>
        </is>
      </c>
      <c r="Z54" s="8" t="inlineStr">
        <is>
          <t>N</t>
        </is>
      </c>
      <c r="AA54" s="8" t="inlineStr">
        <is>
          <t>N</t>
        </is>
      </c>
      <c r="AB54" s="8" t="inlineStr">
        <is>
          <t>N</t>
        </is>
      </c>
      <c r="AC54" s="8" t="inlineStr">
        <is>
          <t>N</t>
        </is>
      </c>
      <c r="AD54" s="8" t="inlineStr">
        <is>
          <t>N</t>
        </is>
      </c>
      <c r="AE54" s="8" t="inlineStr">
        <is>
          <t>N</t>
        </is>
      </c>
    </row>
  </sheetData>
  <mergeCells count="8">
    <mergeCell ref="A29:AE29"/>
    <mergeCell ref="A24:AE24"/>
    <mergeCell ref="A2:AE2"/>
    <mergeCell ref="A41:AE41"/>
    <mergeCell ref="A49:AE49"/>
    <mergeCell ref="A13:AE13"/>
    <mergeCell ref="A8:AE8"/>
    <mergeCell ref="A36:AE3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44"/>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8" customWidth="1" min="3" max="3"/>
    <col width="10"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s>
  <sheetData>
    <row r="1">
      <c r="A1" s="6" t="inlineStr">
        <is>
          <t>Hipótesis</t>
        </is>
      </c>
      <c r="B1" s="6" t="inlineStr">
        <is>
          <t>Criterio (redacción positiva)</t>
        </is>
      </c>
      <c r="C1" s="6" t="inlineStr">
        <is>
          <t>Alerta</t>
        </is>
      </c>
      <c r="D1" s="6" t="inlineStr">
        <is>
          <t>Tipo</t>
        </is>
      </c>
      <c r="E1" s="6" t="inlineStr">
        <is>
          <t>V01</t>
        </is>
      </c>
      <c r="F1" s="6" t="inlineStr">
        <is>
          <t>V02</t>
        </is>
      </c>
      <c r="G1" s="6" t="inlineStr">
        <is>
          <t>V03</t>
        </is>
      </c>
      <c r="H1" s="6" t="inlineStr">
        <is>
          <t>V04</t>
        </is>
      </c>
      <c r="I1" s="6" t="inlineStr">
        <is>
          <t>V05</t>
        </is>
      </c>
      <c r="J1" s="6" t="inlineStr">
        <is>
          <t>V06</t>
        </is>
      </c>
      <c r="K1" s="6" t="inlineStr">
        <is>
          <t>V07</t>
        </is>
      </c>
      <c r="L1" s="6" t="inlineStr">
        <is>
          <t>V08</t>
        </is>
      </c>
      <c r="M1" s="6" t="inlineStr">
        <is>
          <t>V09</t>
        </is>
      </c>
      <c r="N1" s="6" t="inlineStr">
        <is>
          <t>V10</t>
        </is>
      </c>
      <c r="O1" s="6" t="inlineStr">
        <is>
          <t>V11</t>
        </is>
      </c>
      <c r="P1" s="6" t="inlineStr">
        <is>
          <t>V12</t>
        </is>
      </c>
      <c r="Q1" s="6" t="inlineStr">
        <is>
          <t>V13</t>
        </is>
      </c>
      <c r="R1" s="6" t="inlineStr">
        <is>
          <t>V14</t>
        </is>
      </c>
      <c r="S1" s="6" t="inlineStr">
        <is>
          <t>V15</t>
        </is>
      </c>
      <c r="T1" s="6" t="inlineStr">
        <is>
          <t>V16</t>
        </is>
      </c>
      <c r="U1" s="6" t="inlineStr">
        <is>
          <t>V17</t>
        </is>
      </c>
      <c r="V1" s="6" t="inlineStr">
        <is>
          <t>V18</t>
        </is>
      </c>
      <c r="W1" s="6" t="inlineStr">
        <is>
          <t>V19</t>
        </is>
      </c>
      <c r="X1" s="6" t="inlineStr">
        <is>
          <t>V20</t>
        </is>
      </c>
      <c r="Y1" s="6" t="inlineStr">
        <is>
          <t>V21</t>
        </is>
      </c>
      <c r="Z1" s="6" t="inlineStr">
        <is>
          <t>V22</t>
        </is>
      </c>
      <c r="AA1" s="6" t="inlineStr">
        <is>
          <t>V23</t>
        </is>
      </c>
      <c r="AB1" s="6" t="inlineStr">
        <is>
          <t>V24</t>
        </is>
      </c>
      <c r="AC1" s="6" t="inlineStr">
        <is>
          <t>V25</t>
        </is>
      </c>
      <c r="AD1" s="6" t="inlineStr">
        <is>
          <t>V26</t>
        </is>
      </c>
      <c r="AE1" s="6" t="inlineStr">
        <is>
          <t>V27</t>
        </is>
      </c>
    </row>
    <row r="2">
      <c r="B2" s="25" t="inlineStr">
        <is>
          <t>Base recambio (Sí = se incluye en el Resumen)</t>
        </is>
      </c>
      <c r="E2" s="16" t="inlineStr">
        <is>
          <t>Sí</t>
        </is>
      </c>
      <c r="F2" s="16" t="inlineStr">
        <is>
          <t>Sí</t>
        </is>
      </c>
      <c r="G2" s="16" t="inlineStr">
        <is>
          <t>Sí</t>
        </is>
      </c>
      <c r="H2" s="16" t="inlineStr">
        <is>
          <t>Sí</t>
        </is>
      </c>
      <c r="I2" s="16" t="inlineStr">
        <is>
          <t>Sí</t>
        </is>
      </c>
      <c r="J2" s="16" t="inlineStr">
        <is>
          <t>Sí</t>
        </is>
      </c>
      <c r="K2" s="16" t="inlineStr">
        <is>
          <t>No</t>
        </is>
      </c>
      <c r="L2" s="16" t="inlineStr">
        <is>
          <t>Sí</t>
        </is>
      </c>
      <c r="M2" s="16" t="inlineStr">
        <is>
          <t>Sí</t>
        </is>
      </c>
      <c r="N2" s="16" t="inlineStr">
        <is>
          <t>Sí</t>
        </is>
      </c>
      <c r="O2" s="16" t="inlineStr">
        <is>
          <t>Sí</t>
        </is>
      </c>
      <c r="P2" s="16" t="inlineStr">
        <is>
          <t>Sí</t>
        </is>
      </c>
      <c r="Q2" s="16" t="inlineStr">
        <is>
          <t>Sí</t>
        </is>
      </c>
      <c r="R2" s="16" t="inlineStr">
        <is>
          <t>Sí</t>
        </is>
      </c>
      <c r="S2" s="16" t="inlineStr">
        <is>
          <t>No</t>
        </is>
      </c>
      <c r="T2" s="16" t="inlineStr">
        <is>
          <t>Sí</t>
        </is>
      </c>
      <c r="U2" s="16" t="inlineStr">
        <is>
          <t>Sí</t>
        </is>
      </c>
      <c r="V2" s="16" t="inlineStr">
        <is>
          <t>Sí</t>
        </is>
      </c>
      <c r="W2" s="16" t="inlineStr">
        <is>
          <t>Sí</t>
        </is>
      </c>
      <c r="X2" s="16" t="inlineStr">
        <is>
          <t>Sí</t>
        </is>
      </c>
      <c r="Y2" s="16" t="inlineStr">
        <is>
          <t>Sí</t>
        </is>
      </c>
      <c r="Z2" s="16" t="inlineStr">
        <is>
          <t>Sí</t>
        </is>
      </c>
      <c r="AA2" s="16" t="inlineStr">
        <is>
          <t>Sí</t>
        </is>
      </c>
      <c r="AB2" s="16" t="inlineStr">
        <is>
          <t>Sí</t>
        </is>
      </c>
      <c r="AC2" s="16" t="inlineStr">
        <is>
          <t>Sí</t>
        </is>
      </c>
      <c r="AD2" s="16" t="inlineStr">
        <is>
          <t>Sí</t>
        </is>
      </c>
      <c r="AE2" s="16" t="inlineStr">
        <is>
          <t>Sí</t>
        </is>
      </c>
    </row>
    <row r="3">
      <c r="A3" s="8" t="inlineStr">
        <is>
          <t>H1</t>
        </is>
      </c>
      <c r="B3" s="9" t="inlineStr">
        <is>
          <t>Llegada: el momento genera una reacción relevante del cliente (sorpresa, duda, emoción)</t>
        </is>
      </c>
      <c r="C3" s="8" t="inlineStr">
        <is>
          <t>No</t>
        </is>
      </c>
      <c r="D3" s="8" t="inlineStr">
        <is>
          <t>S/N</t>
        </is>
      </c>
      <c r="E3" s="8" t="inlineStr">
        <is>
          <t>N</t>
        </is>
      </c>
      <c r="F3" s="8" t="inlineStr">
        <is>
          <t>N</t>
        </is>
      </c>
      <c r="G3" s="8" t="inlineStr">
        <is>
          <t>N</t>
        </is>
      </c>
      <c r="H3" s="8" t="inlineStr">
        <is>
          <t>N</t>
        </is>
      </c>
      <c r="I3" s="8" t="inlineStr">
        <is>
          <t>Sin registro</t>
        </is>
      </c>
      <c r="J3" s="11" t="inlineStr">
        <is>
          <t>Nota</t>
        </is>
      </c>
      <c r="K3" s="18" t="inlineStr">
        <is>
          <t>N</t>
        </is>
      </c>
      <c r="L3" s="8" t="inlineStr">
        <is>
          <t>N</t>
        </is>
      </c>
      <c r="M3" s="11" t="inlineStr">
        <is>
          <t>Nota</t>
        </is>
      </c>
      <c r="N3" s="8" t="inlineStr">
        <is>
          <t>N</t>
        </is>
      </c>
      <c r="O3" s="8" t="inlineStr">
        <is>
          <t>N</t>
        </is>
      </c>
      <c r="P3" s="8" t="inlineStr">
        <is>
          <t>N</t>
        </is>
      </c>
      <c r="Q3" s="11" t="inlineStr">
        <is>
          <t>Nota</t>
        </is>
      </c>
      <c r="R3" s="11" t="inlineStr">
        <is>
          <t>Nota</t>
        </is>
      </c>
      <c r="S3" s="18" t="inlineStr">
        <is>
          <t>N/A</t>
        </is>
      </c>
      <c r="T3" s="8" t="inlineStr">
        <is>
          <t>N</t>
        </is>
      </c>
      <c r="U3" s="8" t="inlineStr">
        <is>
          <t>N</t>
        </is>
      </c>
      <c r="V3" s="8" t="inlineStr">
        <is>
          <t>N</t>
        </is>
      </c>
      <c r="W3" s="8" t="inlineStr">
        <is>
          <t>N</t>
        </is>
      </c>
      <c r="X3" s="8" t="inlineStr">
        <is>
          <t>N</t>
        </is>
      </c>
      <c r="Y3" s="8" t="inlineStr">
        <is>
          <t>N</t>
        </is>
      </c>
      <c r="Z3" s="8" t="inlineStr">
        <is>
          <t>N</t>
        </is>
      </c>
      <c r="AA3" s="11" t="inlineStr">
        <is>
          <t>Nota</t>
        </is>
      </c>
      <c r="AB3" s="8" t="inlineStr">
        <is>
          <t>N</t>
        </is>
      </c>
      <c r="AC3" s="8" t="inlineStr">
        <is>
          <t>N</t>
        </is>
      </c>
      <c r="AD3" s="8" t="inlineStr">
        <is>
          <t>N</t>
        </is>
      </c>
      <c r="AE3" s="8" t="inlineStr">
        <is>
          <t>N</t>
        </is>
      </c>
    </row>
    <row r="4">
      <c r="A4" s="8" t="inlineStr">
        <is>
          <t>H1</t>
        </is>
      </c>
      <c r="B4" s="9" t="inlineStr">
        <is>
          <t>Explicación del cambio: el momento genera una reacción relevante del cliente</t>
        </is>
      </c>
      <c r="C4" s="8" t="inlineStr">
        <is>
          <t>No</t>
        </is>
      </c>
      <c r="D4" s="8" t="inlineStr">
        <is>
          <t>S/N</t>
        </is>
      </c>
      <c r="E4" s="8" t="inlineStr">
        <is>
          <t>N</t>
        </is>
      </c>
      <c r="F4" s="8" t="inlineStr">
        <is>
          <t>S</t>
        </is>
      </c>
      <c r="G4" s="11" t="inlineStr">
        <is>
          <t>Nota</t>
        </is>
      </c>
      <c r="H4" s="8" t="inlineStr">
        <is>
          <t>S</t>
        </is>
      </c>
      <c r="I4" s="8" t="inlineStr">
        <is>
          <t>Sin registro</t>
        </is>
      </c>
      <c r="J4" s="8" t="inlineStr">
        <is>
          <t>N</t>
        </is>
      </c>
      <c r="K4" s="18" t="inlineStr">
        <is>
          <t>N/A</t>
        </is>
      </c>
      <c r="L4" s="8" t="inlineStr">
        <is>
          <t>N</t>
        </is>
      </c>
      <c r="M4" s="8" t="inlineStr">
        <is>
          <t>N</t>
        </is>
      </c>
      <c r="N4" s="8" t="inlineStr">
        <is>
          <t>N</t>
        </is>
      </c>
      <c r="O4" s="11" t="inlineStr">
        <is>
          <t>Nota</t>
        </is>
      </c>
      <c r="P4" s="11" t="inlineStr">
        <is>
          <t>Nota</t>
        </is>
      </c>
      <c r="Q4" s="8" t="inlineStr">
        <is>
          <t>N</t>
        </is>
      </c>
      <c r="R4" s="8" t="inlineStr">
        <is>
          <t>N</t>
        </is>
      </c>
      <c r="S4" s="18" t="inlineStr">
        <is>
          <t>N/A</t>
        </is>
      </c>
      <c r="T4" s="8" t="inlineStr">
        <is>
          <t>N</t>
        </is>
      </c>
      <c r="U4" s="8" t="inlineStr">
        <is>
          <t>S</t>
        </is>
      </c>
      <c r="V4" s="8" t="inlineStr">
        <is>
          <t>S</t>
        </is>
      </c>
      <c r="W4" s="8" t="inlineStr">
        <is>
          <t>S</t>
        </is>
      </c>
      <c r="X4" s="8" t="inlineStr">
        <is>
          <t>S</t>
        </is>
      </c>
      <c r="Y4" s="8" t="inlineStr">
        <is>
          <t>S</t>
        </is>
      </c>
      <c r="Z4" s="8" t="inlineStr">
        <is>
          <t>S</t>
        </is>
      </c>
      <c r="AA4" s="8" t="inlineStr">
        <is>
          <t>S</t>
        </is>
      </c>
      <c r="AB4" s="8" t="inlineStr">
        <is>
          <t>S</t>
        </is>
      </c>
      <c r="AC4" s="8" t="inlineStr">
        <is>
          <t>S</t>
        </is>
      </c>
      <c r="AD4" s="8" t="inlineStr">
        <is>
          <t>S</t>
        </is>
      </c>
      <c r="AE4" s="8" t="inlineStr">
        <is>
          <t>S</t>
        </is>
      </c>
    </row>
    <row r="5">
      <c r="A5" s="8" t="inlineStr">
        <is>
          <t>H1</t>
        </is>
      </c>
      <c r="B5" s="9" t="inlineStr">
        <is>
          <t>Instalación: el momento genera una reacción relevante del cliente</t>
        </is>
      </c>
      <c r="C5" s="8" t="inlineStr">
        <is>
          <t>No</t>
        </is>
      </c>
      <c r="D5" s="8" t="inlineStr">
        <is>
          <t>S/N</t>
        </is>
      </c>
      <c r="E5" s="8" t="inlineStr">
        <is>
          <t>N</t>
        </is>
      </c>
      <c r="F5" s="8" t="inlineStr">
        <is>
          <t>N</t>
        </is>
      </c>
      <c r="G5" s="8" t="inlineStr">
        <is>
          <t>N</t>
        </is>
      </c>
      <c r="H5" s="8" t="inlineStr">
        <is>
          <t>N</t>
        </is>
      </c>
      <c r="I5" s="8" t="inlineStr">
        <is>
          <t>Sin registro</t>
        </is>
      </c>
      <c r="J5" s="8" t="inlineStr">
        <is>
          <t>N</t>
        </is>
      </c>
      <c r="K5" s="18" t="inlineStr">
        <is>
          <t>N</t>
        </is>
      </c>
      <c r="L5" s="8" t="inlineStr">
        <is>
          <t>N</t>
        </is>
      </c>
      <c r="M5" s="8" t="inlineStr">
        <is>
          <t>N</t>
        </is>
      </c>
      <c r="N5" s="8" t="inlineStr">
        <is>
          <t>N</t>
        </is>
      </c>
      <c r="O5" s="8" t="inlineStr">
        <is>
          <t>N</t>
        </is>
      </c>
      <c r="P5" s="8" t="inlineStr">
        <is>
          <t>N</t>
        </is>
      </c>
      <c r="Q5" s="8" t="inlineStr">
        <is>
          <t>N</t>
        </is>
      </c>
      <c r="R5" s="8" t="inlineStr">
        <is>
          <t>N</t>
        </is>
      </c>
      <c r="S5" s="18" t="inlineStr">
        <is>
          <t>N/A</t>
        </is>
      </c>
      <c r="T5" s="8" t="inlineStr">
        <is>
          <t>N</t>
        </is>
      </c>
      <c r="U5" s="8" t="inlineStr">
        <is>
          <t>N</t>
        </is>
      </c>
      <c r="V5" s="8" t="inlineStr">
        <is>
          <t>N</t>
        </is>
      </c>
      <c r="W5" s="8" t="inlineStr">
        <is>
          <t>N</t>
        </is>
      </c>
      <c r="X5" s="8" t="inlineStr">
        <is>
          <t>N</t>
        </is>
      </c>
      <c r="Y5" s="8" t="inlineStr">
        <is>
          <t>N</t>
        </is>
      </c>
      <c r="Z5" s="8" t="inlineStr">
        <is>
          <t>N</t>
        </is>
      </c>
      <c r="AA5" s="8" t="inlineStr">
        <is>
          <t>N</t>
        </is>
      </c>
      <c r="AB5" s="8" t="inlineStr">
        <is>
          <t>N</t>
        </is>
      </c>
      <c r="AC5" s="8" t="inlineStr">
        <is>
          <t>N</t>
        </is>
      </c>
      <c r="AD5" s="8" t="inlineStr">
        <is>
          <t>N</t>
        </is>
      </c>
      <c r="AE5" s="8" t="inlineStr">
        <is>
          <t>N</t>
        </is>
      </c>
    </row>
    <row r="6">
      <c r="A6" s="8" t="inlineStr">
        <is>
          <t>H1</t>
        </is>
      </c>
      <c r="B6" s="9" t="inlineStr">
        <is>
          <t>Prueba del servicio: el momento genera una reacción relevante del cliente</t>
        </is>
      </c>
      <c r="C6" s="8" t="inlineStr">
        <is>
          <t>No</t>
        </is>
      </c>
      <c r="D6" s="8" t="inlineStr">
        <is>
          <t>S/N</t>
        </is>
      </c>
      <c r="E6" s="8" t="inlineStr">
        <is>
          <t>S</t>
        </is>
      </c>
      <c r="F6" s="8" t="inlineStr">
        <is>
          <t>S</t>
        </is>
      </c>
      <c r="G6" s="8" t="inlineStr">
        <is>
          <t>S</t>
        </is>
      </c>
      <c r="H6" s="11" t="inlineStr">
        <is>
          <t>Nota</t>
        </is>
      </c>
      <c r="I6" s="8" t="inlineStr">
        <is>
          <t>Sin registro</t>
        </is>
      </c>
      <c r="J6" s="8" t="inlineStr">
        <is>
          <t>S</t>
        </is>
      </c>
      <c r="K6" s="18" t="inlineStr">
        <is>
          <t>S</t>
        </is>
      </c>
      <c r="L6" s="11" t="inlineStr">
        <is>
          <t>Nota</t>
        </is>
      </c>
      <c r="M6" s="8" t="inlineStr">
        <is>
          <t>S</t>
        </is>
      </c>
      <c r="N6" s="11" t="inlineStr">
        <is>
          <t>Nota</t>
        </is>
      </c>
      <c r="O6" s="11" t="inlineStr">
        <is>
          <t>Nota</t>
        </is>
      </c>
      <c r="P6" s="8" t="inlineStr">
        <is>
          <t>N</t>
        </is>
      </c>
      <c r="Q6" s="8" t="inlineStr">
        <is>
          <t>N</t>
        </is>
      </c>
      <c r="R6" s="11" t="inlineStr">
        <is>
          <t>Nota</t>
        </is>
      </c>
      <c r="S6" s="18" t="inlineStr">
        <is>
          <t>N</t>
        </is>
      </c>
      <c r="T6" s="11" t="inlineStr">
        <is>
          <t>Nota</t>
        </is>
      </c>
      <c r="U6" s="8" t="inlineStr">
        <is>
          <t>S</t>
        </is>
      </c>
      <c r="V6" s="8" t="inlineStr">
        <is>
          <t>S</t>
        </is>
      </c>
      <c r="W6" s="8" t="inlineStr">
        <is>
          <t>S</t>
        </is>
      </c>
      <c r="X6" s="8" t="inlineStr">
        <is>
          <t>S</t>
        </is>
      </c>
      <c r="Y6" s="8" t="inlineStr">
        <is>
          <t>S</t>
        </is>
      </c>
      <c r="Z6" s="8" t="inlineStr">
        <is>
          <t>S</t>
        </is>
      </c>
      <c r="AA6" s="8" t="inlineStr">
        <is>
          <t>S</t>
        </is>
      </c>
      <c r="AB6" s="8" t="inlineStr">
        <is>
          <t>S</t>
        </is>
      </c>
      <c r="AC6" s="11" t="inlineStr">
        <is>
          <t>Nota</t>
        </is>
      </c>
      <c r="AD6" s="8" t="inlineStr">
        <is>
          <t>S</t>
        </is>
      </c>
      <c r="AE6" s="8" t="inlineStr">
        <is>
          <t>S</t>
        </is>
      </c>
    </row>
    <row r="7">
      <c r="A7" s="8" t="inlineStr">
        <is>
          <t>H1</t>
        </is>
      </c>
      <c r="B7" s="9" t="inlineStr">
        <is>
          <t>Cierre: el momento genera una reacción relevante del cliente</t>
        </is>
      </c>
      <c r="C7" s="8" t="inlineStr">
        <is>
          <t>No</t>
        </is>
      </c>
      <c r="D7" s="8" t="inlineStr">
        <is>
          <t>S/N</t>
        </is>
      </c>
      <c r="E7" s="11" t="inlineStr">
        <is>
          <t>Nota</t>
        </is>
      </c>
      <c r="F7" s="8" t="inlineStr">
        <is>
          <t>N</t>
        </is>
      </c>
      <c r="G7" s="11" t="inlineStr">
        <is>
          <t>Nota</t>
        </is>
      </c>
      <c r="H7" s="8" t="inlineStr">
        <is>
          <t>N</t>
        </is>
      </c>
      <c r="I7" s="8" t="inlineStr">
        <is>
          <t>Sin registro</t>
        </is>
      </c>
      <c r="J7" s="8" t="inlineStr">
        <is>
          <t>N</t>
        </is>
      </c>
      <c r="K7" s="18" t="inlineStr">
        <is>
          <t>N</t>
        </is>
      </c>
      <c r="L7" s="8" t="inlineStr">
        <is>
          <t>N</t>
        </is>
      </c>
      <c r="M7" s="8" t="inlineStr">
        <is>
          <t>N</t>
        </is>
      </c>
      <c r="N7" s="8" t="inlineStr">
        <is>
          <t>N</t>
        </is>
      </c>
      <c r="O7" s="8" t="inlineStr">
        <is>
          <t>N</t>
        </is>
      </c>
      <c r="P7" s="8" t="inlineStr">
        <is>
          <t>N</t>
        </is>
      </c>
      <c r="Q7" s="8" t="inlineStr">
        <is>
          <t>N</t>
        </is>
      </c>
      <c r="R7" s="8" t="inlineStr">
        <is>
          <t>N</t>
        </is>
      </c>
      <c r="S7" s="18" t="inlineStr">
        <is>
          <t>N</t>
        </is>
      </c>
      <c r="T7" s="11" t="inlineStr">
        <is>
          <t>Nota</t>
        </is>
      </c>
      <c r="U7" s="8" t="inlineStr">
        <is>
          <t>N</t>
        </is>
      </c>
      <c r="V7" s="8" t="inlineStr">
        <is>
          <t>N</t>
        </is>
      </c>
      <c r="W7" s="8" t="inlineStr">
        <is>
          <t>N</t>
        </is>
      </c>
      <c r="X7" s="8" t="inlineStr">
        <is>
          <t>N</t>
        </is>
      </c>
      <c r="Y7" s="8" t="inlineStr">
        <is>
          <t>N</t>
        </is>
      </c>
      <c r="Z7" s="8" t="inlineStr">
        <is>
          <t>N</t>
        </is>
      </c>
      <c r="AA7" s="8" t="inlineStr">
        <is>
          <t>N</t>
        </is>
      </c>
      <c r="AB7" s="8" t="inlineStr">
        <is>
          <t>N</t>
        </is>
      </c>
      <c r="AC7" s="8" t="inlineStr">
        <is>
          <t>N</t>
        </is>
      </c>
      <c r="AD7" s="8" t="inlineStr">
        <is>
          <t>N</t>
        </is>
      </c>
      <c r="AE7" s="8" t="inlineStr">
        <is>
          <t>N</t>
        </is>
      </c>
    </row>
    <row r="8">
      <c r="A8" s="8" t="inlineStr">
        <is>
          <t>H2</t>
        </is>
      </c>
      <c r="B8" s="9" t="inlineStr">
        <is>
          <t>Ante preguntas: responde correctamente y de manera completa</t>
        </is>
      </c>
      <c r="C8" s="8" t="inlineStr">
        <is>
          <t>No</t>
        </is>
      </c>
      <c r="D8" s="8" t="inlineStr">
        <is>
          <t>S/N</t>
        </is>
      </c>
      <c r="E8" s="8" t="inlineStr">
        <is>
          <t>S</t>
        </is>
      </c>
      <c r="F8" s="8" t="inlineStr">
        <is>
          <t>S</t>
        </is>
      </c>
      <c r="G8" s="8" t="inlineStr">
        <is>
          <t>S</t>
        </is>
      </c>
      <c r="H8" s="8" t="inlineStr">
        <is>
          <t>S</t>
        </is>
      </c>
      <c r="I8" s="8" t="inlineStr">
        <is>
          <t>S</t>
        </is>
      </c>
      <c r="J8" s="8" t="inlineStr">
        <is>
          <t>S</t>
        </is>
      </c>
      <c r="K8" s="18" t="inlineStr">
        <is>
          <t>S</t>
        </is>
      </c>
      <c r="L8" s="8" t="inlineStr">
        <is>
          <t>S</t>
        </is>
      </c>
      <c r="M8" s="8" t="inlineStr">
        <is>
          <t>S</t>
        </is>
      </c>
      <c r="N8" s="8" t="inlineStr">
        <is>
          <t>S</t>
        </is>
      </c>
      <c r="O8" s="8" t="inlineStr">
        <is>
          <t>S</t>
        </is>
      </c>
      <c r="P8" s="8" t="inlineStr">
        <is>
          <t>S</t>
        </is>
      </c>
      <c r="Q8" s="8" t="inlineStr">
        <is>
          <t>S</t>
        </is>
      </c>
      <c r="R8" s="8" t="inlineStr">
        <is>
          <t>S</t>
        </is>
      </c>
      <c r="S8" s="18" t="inlineStr">
        <is>
          <t>S</t>
        </is>
      </c>
      <c r="T8" s="8" t="inlineStr">
        <is>
          <t>S</t>
        </is>
      </c>
      <c r="U8" s="8" t="inlineStr">
        <is>
          <t>S</t>
        </is>
      </c>
      <c r="V8" s="8" t="inlineStr">
        <is>
          <t>S</t>
        </is>
      </c>
      <c r="W8" s="8" t="inlineStr">
        <is>
          <t>S</t>
        </is>
      </c>
      <c r="X8" s="8" t="inlineStr">
        <is>
          <t>S</t>
        </is>
      </c>
      <c r="Y8" s="8" t="inlineStr">
        <is>
          <t>S</t>
        </is>
      </c>
      <c r="Z8" s="8" t="inlineStr">
        <is>
          <t>S</t>
        </is>
      </c>
      <c r="AA8" s="8" t="inlineStr">
        <is>
          <t>S</t>
        </is>
      </c>
      <c r="AB8" s="8" t="inlineStr">
        <is>
          <t>S</t>
        </is>
      </c>
      <c r="AC8" s="8" t="inlineStr">
        <is>
          <t>S</t>
        </is>
      </c>
      <c r="AD8" s="8" t="inlineStr">
        <is>
          <t>S</t>
        </is>
      </c>
      <c r="AE8" s="8" t="inlineStr">
        <is>
          <t>S</t>
        </is>
      </c>
    </row>
    <row r="9">
      <c r="A9" s="8" t="inlineStr">
        <is>
          <t>H2</t>
        </is>
      </c>
      <c r="B9" s="9" t="inlineStr">
        <is>
          <t>Ante preguntas reiteradas sobre el mismo tema, reformula y adapta su lenguaje</t>
        </is>
      </c>
      <c r="C9" s="8" t="inlineStr">
        <is>
          <t>No</t>
        </is>
      </c>
      <c r="D9" s="8" t="inlineStr">
        <is>
          <t>S/N</t>
        </is>
      </c>
      <c r="E9" s="8" t="inlineStr">
        <is>
          <t>S</t>
        </is>
      </c>
      <c r="F9" s="8" t="inlineStr">
        <is>
          <t>S</t>
        </is>
      </c>
      <c r="G9" s="8" t="inlineStr">
        <is>
          <t>S</t>
        </is>
      </c>
      <c r="H9" s="8" t="inlineStr">
        <is>
          <t>N/A</t>
        </is>
      </c>
      <c r="I9" s="8" t="inlineStr">
        <is>
          <t>S</t>
        </is>
      </c>
      <c r="J9" s="8" t="inlineStr">
        <is>
          <t>S</t>
        </is>
      </c>
      <c r="K9" s="18" t="inlineStr">
        <is>
          <t>S</t>
        </is>
      </c>
      <c r="L9" s="8" t="inlineStr">
        <is>
          <t>N/A</t>
        </is>
      </c>
      <c r="M9" s="8" t="inlineStr">
        <is>
          <t>S</t>
        </is>
      </c>
      <c r="N9" s="8" t="inlineStr">
        <is>
          <t>N/A</t>
        </is>
      </c>
      <c r="O9" s="8" t="inlineStr">
        <is>
          <t>N/A</t>
        </is>
      </c>
      <c r="P9" s="8" t="inlineStr">
        <is>
          <t>N/A</t>
        </is>
      </c>
      <c r="Q9" s="8" t="inlineStr">
        <is>
          <t>S</t>
        </is>
      </c>
      <c r="R9" s="8" t="inlineStr">
        <is>
          <t>S</t>
        </is>
      </c>
      <c r="S9" s="18" t="inlineStr">
        <is>
          <t>S</t>
        </is>
      </c>
      <c r="T9" s="8" t="inlineStr">
        <is>
          <t>S</t>
        </is>
      </c>
      <c r="U9" s="8" t="inlineStr">
        <is>
          <t>N/A</t>
        </is>
      </c>
      <c r="V9" s="8" t="inlineStr">
        <is>
          <t>N/A</t>
        </is>
      </c>
      <c r="W9" s="8" t="inlineStr">
        <is>
          <t>N/A</t>
        </is>
      </c>
      <c r="X9" s="8" t="inlineStr">
        <is>
          <t>N/A</t>
        </is>
      </c>
      <c r="Y9" s="8" t="inlineStr">
        <is>
          <t>N/A</t>
        </is>
      </c>
      <c r="Z9" s="8" t="inlineStr">
        <is>
          <t>N/A</t>
        </is>
      </c>
      <c r="AA9" s="8" t="inlineStr">
        <is>
          <t>S</t>
        </is>
      </c>
      <c r="AB9" s="8" t="inlineStr">
        <is>
          <t>N/A</t>
        </is>
      </c>
      <c r="AC9" s="8" t="inlineStr">
        <is>
          <t>N/A</t>
        </is>
      </c>
      <c r="AD9" s="8" t="inlineStr">
        <is>
          <t>N/A</t>
        </is>
      </c>
      <c r="AE9" s="8" t="inlineStr">
        <is>
          <t>N/A</t>
        </is>
      </c>
    </row>
    <row r="10">
      <c r="A10" s="8" t="inlineStr">
        <is>
          <t>H2</t>
        </is>
      </c>
      <c r="B10" s="9" t="inlineStr">
        <is>
          <t>Explicaciones claras, correctas y completas</t>
        </is>
      </c>
      <c r="C10" s="8" t="inlineStr">
        <is>
          <t>No</t>
        </is>
      </c>
      <c r="D10" s="8" t="inlineStr">
        <is>
          <t>S/N</t>
        </is>
      </c>
      <c r="E10" s="8" t="inlineStr">
        <is>
          <t>N</t>
        </is>
      </c>
      <c r="F10" s="8" t="inlineStr">
        <is>
          <t>N</t>
        </is>
      </c>
      <c r="G10" s="8" t="inlineStr">
        <is>
          <t>N</t>
        </is>
      </c>
      <c r="H10" s="8" t="inlineStr">
        <is>
          <t>N</t>
        </is>
      </c>
      <c r="I10" s="8" t="inlineStr">
        <is>
          <t>S</t>
        </is>
      </c>
      <c r="J10" s="8" t="inlineStr">
        <is>
          <t>N</t>
        </is>
      </c>
      <c r="K10" s="18" t="inlineStr">
        <is>
          <t>N</t>
        </is>
      </c>
      <c r="L10" s="8" t="inlineStr">
        <is>
          <t>N</t>
        </is>
      </c>
      <c r="M10" s="8" t="inlineStr">
        <is>
          <t>S</t>
        </is>
      </c>
      <c r="N10" s="8" t="inlineStr">
        <is>
          <t>N</t>
        </is>
      </c>
      <c r="O10" s="8" t="inlineStr">
        <is>
          <t>N</t>
        </is>
      </c>
      <c r="P10" s="8" t="inlineStr">
        <is>
          <t>N</t>
        </is>
      </c>
      <c r="Q10" s="8" t="inlineStr">
        <is>
          <t>N</t>
        </is>
      </c>
      <c r="R10" s="8" t="inlineStr">
        <is>
          <t>N</t>
        </is>
      </c>
      <c r="S10" s="18" t="inlineStr">
        <is>
          <t>N</t>
        </is>
      </c>
      <c r="T10" s="8" t="inlineStr">
        <is>
          <t>N</t>
        </is>
      </c>
      <c r="U10" s="11" t="inlineStr">
        <is>
          <t>Nota</t>
        </is>
      </c>
      <c r="V10" s="8" t="inlineStr">
        <is>
          <t>N</t>
        </is>
      </c>
      <c r="W10" s="8" t="inlineStr">
        <is>
          <t>N</t>
        </is>
      </c>
      <c r="X10" s="8" t="inlineStr">
        <is>
          <t>N</t>
        </is>
      </c>
      <c r="Y10" s="8" t="inlineStr">
        <is>
          <t>N</t>
        </is>
      </c>
      <c r="Z10" s="8" t="inlineStr">
        <is>
          <t>N</t>
        </is>
      </c>
      <c r="AA10" s="8" t="inlineStr">
        <is>
          <t>N</t>
        </is>
      </c>
      <c r="AB10" s="8" t="inlineStr">
        <is>
          <t>N</t>
        </is>
      </c>
      <c r="AC10" s="8" t="inlineStr">
        <is>
          <t>N</t>
        </is>
      </c>
      <c r="AD10" s="8" t="inlineStr">
        <is>
          <t>N</t>
        </is>
      </c>
      <c r="AE10" s="8" t="inlineStr">
        <is>
          <t>N</t>
        </is>
      </c>
    </row>
    <row r="11">
      <c r="A11" s="8" t="inlineStr">
        <is>
          <t>H2</t>
        </is>
      </c>
      <c r="B11" s="9" t="inlineStr">
        <is>
          <t>Demuestra empatía y contención</t>
        </is>
      </c>
      <c r="C11" s="8" t="inlineStr">
        <is>
          <t>No</t>
        </is>
      </c>
      <c r="D11" s="8" t="inlineStr">
        <is>
          <t>S/N</t>
        </is>
      </c>
      <c r="E11" s="8" t="inlineStr">
        <is>
          <t>S</t>
        </is>
      </c>
      <c r="F11" s="8" t="inlineStr">
        <is>
          <t>S</t>
        </is>
      </c>
      <c r="G11" s="8" t="inlineStr">
        <is>
          <t>S</t>
        </is>
      </c>
      <c r="H11" s="8" t="inlineStr">
        <is>
          <t>S</t>
        </is>
      </c>
      <c r="I11" s="8" t="inlineStr">
        <is>
          <t>S</t>
        </is>
      </c>
      <c r="J11" s="8" t="inlineStr">
        <is>
          <t>S</t>
        </is>
      </c>
      <c r="K11" s="18" t="inlineStr">
        <is>
          <t>S</t>
        </is>
      </c>
      <c r="L11" s="8" t="inlineStr">
        <is>
          <t>S</t>
        </is>
      </c>
      <c r="M11" s="8" t="inlineStr">
        <is>
          <t>S</t>
        </is>
      </c>
      <c r="N11" s="8" t="inlineStr">
        <is>
          <t>S</t>
        </is>
      </c>
      <c r="O11" s="8" t="inlineStr">
        <is>
          <t>S</t>
        </is>
      </c>
      <c r="P11" s="8" t="inlineStr">
        <is>
          <t>S</t>
        </is>
      </c>
      <c r="Q11" s="8" t="inlineStr">
        <is>
          <t>S</t>
        </is>
      </c>
      <c r="R11" s="8" t="inlineStr">
        <is>
          <t>S</t>
        </is>
      </c>
      <c r="S11" s="18" t="inlineStr">
        <is>
          <t>S</t>
        </is>
      </c>
      <c r="T11" s="8" t="inlineStr">
        <is>
          <t>S</t>
        </is>
      </c>
      <c r="U11" s="8" t="inlineStr">
        <is>
          <t>S</t>
        </is>
      </c>
      <c r="V11" s="8" t="inlineStr">
        <is>
          <t>S</t>
        </is>
      </c>
      <c r="W11" s="8" t="inlineStr">
        <is>
          <t>S</t>
        </is>
      </c>
      <c r="X11" s="8" t="inlineStr">
        <is>
          <t>S</t>
        </is>
      </c>
      <c r="Y11" s="8" t="inlineStr">
        <is>
          <t>S</t>
        </is>
      </c>
      <c r="Z11" s="8" t="inlineStr">
        <is>
          <t>S</t>
        </is>
      </c>
      <c r="AA11" s="8" t="inlineStr">
        <is>
          <t>S</t>
        </is>
      </c>
      <c r="AB11" s="8" t="inlineStr">
        <is>
          <t>S</t>
        </is>
      </c>
      <c r="AC11" s="8" t="inlineStr">
        <is>
          <t>S</t>
        </is>
      </c>
      <c r="AD11" s="8" t="inlineStr">
        <is>
          <t>S</t>
        </is>
      </c>
      <c r="AE11" s="8" t="inlineStr">
        <is>
          <t>S</t>
        </is>
      </c>
    </row>
    <row r="12">
      <c r="A12" s="8" t="inlineStr">
        <is>
          <t>H3</t>
        </is>
      </c>
      <c r="B12" s="9" t="inlineStr">
        <is>
          <t>¿El técnico necesitó reintentar la instalación?</t>
        </is>
      </c>
      <c r="C12" s="8" t="inlineStr">
        <is>
          <t>No</t>
        </is>
      </c>
      <c r="D12" s="8" t="inlineStr">
        <is>
          <t>S/N</t>
        </is>
      </c>
      <c r="E12" s="8" t="inlineStr">
        <is>
          <t>N</t>
        </is>
      </c>
      <c r="F12" s="8" t="inlineStr">
        <is>
          <t>N</t>
        </is>
      </c>
      <c r="G12" s="8" t="inlineStr">
        <is>
          <t>N</t>
        </is>
      </c>
      <c r="H12" s="8" t="inlineStr">
        <is>
          <t>N</t>
        </is>
      </c>
      <c r="I12" s="8" t="inlineStr">
        <is>
          <t>N</t>
        </is>
      </c>
      <c r="J12" s="8" t="inlineStr">
        <is>
          <t>N</t>
        </is>
      </c>
      <c r="K12" s="18" t="inlineStr">
        <is>
          <t>N</t>
        </is>
      </c>
      <c r="L12" s="8" t="inlineStr">
        <is>
          <t>N</t>
        </is>
      </c>
      <c r="M12" s="8" t="inlineStr">
        <is>
          <t>N</t>
        </is>
      </c>
      <c r="N12" s="8" t="inlineStr">
        <is>
          <t>N</t>
        </is>
      </c>
      <c r="O12" s="8" t="inlineStr">
        <is>
          <t>N/A</t>
        </is>
      </c>
      <c r="P12" s="8" t="inlineStr">
        <is>
          <t>N</t>
        </is>
      </c>
      <c r="Q12" s="8" t="inlineStr">
        <is>
          <t>N</t>
        </is>
      </c>
      <c r="R12" s="8" t="inlineStr">
        <is>
          <t>N</t>
        </is>
      </c>
      <c r="S12" s="18" t="inlineStr">
        <is>
          <t>N</t>
        </is>
      </c>
      <c r="T12" s="8" t="inlineStr">
        <is>
          <t>N</t>
        </is>
      </c>
      <c r="U12" s="8" t="inlineStr">
        <is>
          <t>N</t>
        </is>
      </c>
      <c r="V12" s="8" t="inlineStr">
        <is>
          <t>N</t>
        </is>
      </c>
      <c r="W12" s="8" t="inlineStr">
        <is>
          <t>N</t>
        </is>
      </c>
      <c r="X12" s="8" t="inlineStr">
        <is>
          <t>N</t>
        </is>
      </c>
      <c r="Y12" s="8" t="inlineStr">
        <is>
          <t>N</t>
        </is>
      </c>
      <c r="Z12" s="8" t="inlineStr">
        <is>
          <t>N</t>
        </is>
      </c>
      <c r="AA12" s="8" t="inlineStr">
        <is>
          <t>N</t>
        </is>
      </c>
      <c r="AB12" s="8" t="inlineStr">
        <is>
          <t>N</t>
        </is>
      </c>
      <c r="AC12" s="8" t="inlineStr">
        <is>
          <t>N</t>
        </is>
      </c>
      <c r="AD12" s="8" t="inlineStr">
        <is>
          <t>N</t>
        </is>
      </c>
      <c r="AE12" s="8" t="inlineStr">
        <is>
          <t>N</t>
        </is>
      </c>
    </row>
    <row r="13">
      <c r="A13" s="8" t="inlineStr">
        <is>
          <t>H3</t>
        </is>
      </c>
      <c r="B13" s="9" t="inlineStr">
        <is>
          <t>¿El técnico necesitó pedir soporte técnico durante la visita?</t>
        </is>
      </c>
      <c r="C13" s="8" t="inlineStr">
        <is>
          <t>No</t>
        </is>
      </c>
      <c r="D13" s="8" t="inlineStr">
        <is>
          <t>S/N</t>
        </is>
      </c>
      <c r="E13" s="8" t="inlineStr">
        <is>
          <t>N</t>
        </is>
      </c>
      <c r="F13" s="8" t="inlineStr">
        <is>
          <t>N</t>
        </is>
      </c>
      <c r="G13" s="8" t="inlineStr">
        <is>
          <t>N</t>
        </is>
      </c>
      <c r="H13" s="8" t="inlineStr">
        <is>
          <t>N</t>
        </is>
      </c>
      <c r="I13" s="8" t="inlineStr">
        <is>
          <t>N</t>
        </is>
      </c>
      <c r="J13" s="8" t="inlineStr">
        <is>
          <t>N</t>
        </is>
      </c>
      <c r="K13" s="18" t="inlineStr">
        <is>
          <t>N</t>
        </is>
      </c>
      <c r="L13" s="8" t="inlineStr">
        <is>
          <t>N</t>
        </is>
      </c>
      <c r="M13" s="8" t="inlineStr">
        <is>
          <t>N</t>
        </is>
      </c>
      <c r="N13" s="8" t="inlineStr">
        <is>
          <t>N</t>
        </is>
      </c>
      <c r="O13" s="8" t="inlineStr">
        <is>
          <t>N</t>
        </is>
      </c>
      <c r="P13" s="8" t="inlineStr">
        <is>
          <t>N</t>
        </is>
      </c>
      <c r="Q13" s="8" t="inlineStr">
        <is>
          <t>N</t>
        </is>
      </c>
      <c r="R13" s="8" t="inlineStr">
        <is>
          <t>N</t>
        </is>
      </c>
      <c r="S13" s="18" t="inlineStr">
        <is>
          <t>N</t>
        </is>
      </c>
      <c r="T13" s="8" t="inlineStr">
        <is>
          <t>N</t>
        </is>
      </c>
      <c r="U13" s="8" t="inlineStr">
        <is>
          <t>N</t>
        </is>
      </c>
      <c r="V13" s="8" t="inlineStr">
        <is>
          <t>N</t>
        </is>
      </c>
      <c r="W13" s="8" t="inlineStr">
        <is>
          <t>N</t>
        </is>
      </c>
      <c r="X13" s="8" t="inlineStr">
        <is>
          <t>N</t>
        </is>
      </c>
      <c r="Y13" s="8" t="inlineStr">
        <is>
          <t>N</t>
        </is>
      </c>
      <c r="Z13" s="8" t="inlineStr">
        <is>
          <t>N</t>
        </is>
      </c>
      <c r="AA13" s="8" t="inlineStr">
        <is>
          <t>N</t>
        </is>
      </c>
      <c r="AB13" s="8" t="inlineStr">
        <is>
          <t>N</t>
        </is>
      </c>
      <c r="AC13" s="8" t="inlineStr">
        <is>
          <t>N</t>
        </is>
      </c>
      <c r="AD13" s="8" t="inlineStr">
        <is>
          <t>N</t>
        </is>
      </c>
      <c r="AE13" s="8" t="inlineStr">
        <is>
          <t>N</t>
        </is>
      </c>
    </row>
    <row r="14">
      <c r="A14" s="8" t="inlineStr">
        <is>
          <t>H3</t>
        </is>
      </c>
      <c r="B14" s="9" t="inlineStr">
        <is>
          <t>¿El técnico necesitó gestionar aspectos administrativos durante la visita?</t>
        </is>
      </c>
      <c r="C14" s="8" t="inlineStr">
        <is>
          <t>No</t>
        </is>
      </c>
      <c r="D14" s="8" t="inlineStr">
        <is>
          <t>Constante</t>
        </is>
      </c>
      <c r="E14" s="11" t="inlineStr">
        <is>
          <t>Nota</t>
        </is>
      </c>
      <c r="F14" s="11" t="inlineStr">
        <is>
          <t>Nota</t>
        </is>
      </c>
      <c r="G14" s="11" t="inlineStr">
        <is>
          <t>Nota</t>
        </is>
      </c>
      <c r="H14" s="11" t="inlineStr">
        <is>
          <t>Nota</t>
        </is>
      </c>
      <c r="I14" s="11" t="inlineStr">
        <is>
          <t>Nota</t>
        </is>
      </c>
      <c r="J14" s="11" t="inlineStr">
        <is>
          <t>Nota</t>
        </is>
      </c>
      <c r="K14" s="11" t="inlineStr">
        <is>
          <t>Nota</t>
        </is>
      </c>
      <c r="L14" s="11" t="inlineStr">
        <is>
          <t>Nota</t>
        </is>
      </c>
      <c r="M14" s="11" t="inlineStr">
        <is>
          <t>Nota</t>
        </is>
      </c>
      <c r="N14" s="11" t="inlineStr">
        <is>
          <t>Nota</t>
        </is>
      </c>
      <c r="O14" s="11" t="inlineStr">
        <is>
          <t>Nota</t>
        </is>
      </c>
      <c r="P14" s="11" t="inlineStr">
        <is>
          <t>Nota</t>
        </is>
      </c>
      <c r="Q14" s="11" t="inlineStr">
        <is>
          <t>Nota</t>
        </is>
      </c>
      <c r="R14" s="11" t="inlineStr">
        <is>
          <t>Nota</t>
        </is>
      </c>
      <c r="S14" s="11" t="inlineStr">
        <is>
          <t>Nota</t>
        </is>
      </c>
      <c r="T14" s="11" t="inlineStr">
        <is>
          <t>Nota</t>
        </is>
      </c>
      <c r="U14" s="11" t="inlineStr">
        <is>
          <t>Nota</t>
        </is>
      </c>
      <c r="V14" s="11" t="inlineStr">
        <is>
          <t>Nota</t>
        </is>
      </c>
      <c r="W14" s="11" t="inlineStr">
        <is>
          <t>Nota</t>
        </is>
      </c>
      <c r="X14" s="11" t="inlineStr">
        <is>
          <t>Nota</t>
        </is>
      </c>
      <c r="Y14" s="11" t="inlineStr">
        <is>
          <t>Nota</t>
        </is>
      </c>
      <c r="Z14" s="11" t="inlineStr">
        <is>
          <t>Nota</t>
        </is>
      </c>
      <c r="AA14" s="11" t="inlineStr">
        <is>
          <t>Nota</t>
        </is>
      </c>
      <c r="AB14" s="11" t="inlineStr">
        <is>
          <t>Nota</t>
        </is>
      </c>
      <c r="AC14" s="11" t="inlineStr">
        <is>
          <t>Nota</t>
        </is>
      </c>
      <c r="AD14" s="11" t="inlineStr">
        <is>
          <t>Nota</t>
        </is>
      </c>
      <c r="AE14" s="11" t="inlineStr">
        <is>
          <t>Nota</t>
        </is>
      </c>
    </row>
    <row r="15">
      <c r="A15" s="8" t="inlineStr">
        <is>
          <t>H3</t>
        </is>
      </c>
      <c r="B15" s="9" t="inlineStr">
        <is>
          <t>¿El cliente reclama el reemplazo de decos no declarados?</t>
        </is>
      </c>
      <c r="C15" s="8" t="inlineStr">
        <is>
          <t>No</t>
        </is>
      </c>
      <c r="D15" s="8" t="inlineStr">
        <is>
          <t>S/N</t>
        </is>
      </c>
      <c r="E15" s="8" t="inlineStr">
        <is>
          <t>N</t>
        </is>
      </c>
      <c r="F15" s="8" t="inlineStr">
        <is>
          <t>N</t>
        </is>
      </c>
      <c r="G15" s="8" t="inlineStr">
        <is>
          <t>N</t>
        </is>
      </c>
      <c r="H15" s="8" t="inlineStr">
        <is>
          <t>N</t>
        </is>
      </c>
      <c r="I15" s="8" t="inlineStr">
        <is>
          <t>S</t>
        </is>
      </c>
      <c r="J15" s="8" t="inlineStr">
        <is>
          <t>N</t>
        </is>
      </c>
      <c r="K15" s="18" t="inlineStr">
        <is>
          <t>N</t>
        </is>
      </c>
      <c r="L15" s="8" t="inlineStr">
        <is>
          <t>N</t>
        </is>
      </c>
      <c r="M15" s="8" t="inlineStr">
        <is>
          <t>N</t>
        </is>
      </c>
      <c r="N15" s="8" t="inlineStr">
        <is>
          <t>N</t>
        </is>
      </c>
      <c r="O15" s="8" t="inlineStr">
        <is>
          <t>N</t>
        </is>
      </c>
      <c r="P15" s="8" t="inlineStr">
        <is>
          <t>N</t>
        </is>
      </c>
      <c r="Q15" s="8" t="inlineStr">
        <is>
          <t>N</t>
        </is>
      </c>
      <c r="R15" s="8" t="inlineStr">
        <is>
          <t>N</t>
        </is>
      </c>
      <c r="S15" s="18" t="inlineStr">
        <is>
          <t>N/A</t>
        </is>
      </c>
      <c r="T15" s="8" t="inlineStr">
        <is>
          <t>N</t>
        </is>
      </c>
      <c r="U15" s="8" t="inlineStr">
        <is>
          <t>N</t>
        </is>
      </c>
      <c r="V15" s="8" t="inlineStr">
        <is>
          <t>N</t>
        </is>
      </c>
      <c r="W15" s="8" t="inlineStr">
        <is>
          <t>N</t>
        </is>
      </c>
      <c r="X15" s="8" t="inlineStr">
        <is>
          <t>N</t>
        </is>
      </c>
      <c r="Y15" s="8" t="inlineStr">
        <is>
          <t>N</t>
        </is>
      </c>
      <c r="Z15" s="8" t="inlineStr">
        <is>
          <t>N</t>
        </is>
      </c>
      <c r="AA15" s="8" t="inlineStr">
        <is>
          <t>N</t>
        </is>
      </c>
      <c r="AB15" s="8" t="inlineStr">
        <is>
          <t>N</t>
        </is>
      </c>
      <c r="AC15" s="8" t="inlineStr">
        <is>
          <t>N</t>
        </is>
      </c>
      <c r="AD15" s="8" t="inlineStr">
        <is>
          <t>N</t>
        </is>
      </c>
      <c r="AE15" s="8" t="inlineStr">
        <is>
          <t>N</t>
        </is>
      </c>
    </row>
    <row r="16">
      <c r="A16" s="8" t="inlineStr">
        <is>
          <t>H3</t>
        </is>
      </c>
      <c r="B16" s="9" t="inlineStr">
        <is>
          <t>¿El dispositivo se reconoce inmediatamente?</t>
        </is>
      </c>
      <c r="C16" s="8" t="inlineStr">
        <is>
          <t>No</t>
        </is>
      </c>
      <c r="D16" s="8" t="inlineStr">
        <is>
          <t>S/N</t>
        </is>
      </c>
      <c r="E16" s="8" t="inlineStr">
        <is>
          <t>S</t>
        </is>
      </c>
      <c r="F16" s="8" t="inlineStr">
        <is>
          <t>S</t>
        </is>
      </c>
      <c r="G16" s="8" t="inlineStr">
        <is>
          <t>N</t>
        </is>
      </c>
      <c r="H16" s="8" t="inlineStr">
        <is>
          <t>S</t>
        </is>
      </c>
      <c r="I16" s="8" t="inlineStr">
        <is>
          <t>S</t>
        </is>
      </c>
      <c r="J16" s="8" t="inlineStr">
        <is>
          <t>S</t>
        </is>
      </c>
      <c r="K16" s="18" t="inlineStr">
        <is>
          <t>S</t>
        </is>
      </c>
      <c r="L16" s="8" t="inlineStr">
        <is>
          <t>S</t>
        </is>
      </c>
      <c r="M16" s="8" t="inlineStr">
        <is>
          <t>S</t>
        </is>
      </c>
      <c r="N16" s="8" t="inlineStr">
        <is>
          <t>S</t>
        </is>
      </c>
      <c r="O16" s="8" t="inlineStr">
        <is>
          <t>S</t>
        </is>
      </c>
      <c r="P16" s="8" t="inlineStr">
        <is>
          <t>S</t>
        </is>
      </c>
      <c r="Q16" s="8" t="inlineStr">
        <is>
          <t>S</t>
        </is>
      </c>
      <c r="R16" s="8" t="inlineStr">
        <is>
          <t>S</t>
        </is>
      </c>
      <c r="S16" s="18" t="inlineStr">
        <is>
          <t>S</t>
        </is>
      </c>
      <c r="T16" s="8" t="inlineStr">
        <is>
          <t>S</t>
        </is>
      </c>
      <c r="U16" s="8" t="inlineStr">
        <is>
          <t>S</t>
        </is>
      </c>
      <c r="V16" s="8" t="inlineStr">
        <is>
          <t>S</t>
        </is>
      </c>
      <c r="W16" s="8" t="inlineStr">
        <is>
          <t>S</t>
        </is>
      </c>
      <c r="X16" s="8" t="inlineStr">
        <is>
          <t>S</t>
        </is>
      </c>
      <c r="Y16" s="8" t="inlineStr">
        <is>
          <t>S</t>
        </is>
      </c>
      <c r="Z16" s="8" t="inlineStr">
        <is>
          <t>S</t>
        </is>
      </c>
      <c r="AA16" s="11" t="inlineStr">
        <is>
          <t>Nota</t>
        </is>
      </c>
      <c r="AB16" s="8" t="inlineStr">
        <is>
          <t>S</t>
        </is>
      </c>
      <c r="AC16" s="8" t="inlineStr">
        <is>
          <t>S</t>
        </is>
      </c>
      <c r="AD16" s="8" t="inlineStr">
        <is>
          <t>S</t>
        </is>
      </c>
      <c r="AE16" s="8" t="inlineStr">
        <is>
          <t>S</t>
        </is>
      </c>
    </row>
    <row r="17">
      <c r="A17" s="8" t="inlineStr">
        <is>
          <t>H3</t>
        </is>
      </c>
      <c r="B17" s="9" t="inlineStr">
        <is>
          <t>Llevarse los equipos viejos y firmar consentimiento</t>
        </is>
      </c>
      <c r="C17" s="8" t="inlineStr">
        <is>
          <t>No</t>
        </is>
      </c>
      <c r="D17" s="8" t="inlineStr">
        <is>
          <t>S/N</t>
        </is>
      </c>
      <c r="E17" s="8" t="inlineStr">
        <is>
          <t>S</t>
        </is>
      </c>
      <c r="F17" s="8" t="inlineStr">
        <is>
          <t>S</t>
        </is>
      </c>
      <c r="G17" s="8" t="inlineStr">
        <is>
          <t>S</t>
        </is>
      </c>
      <c r="H17" s="8" t="inlineStr">
        <is>
          <t>S</t>
        </is>
      </c>
      <c r="I17" s="8" t="inlineStr">
        <is>
          <t>S</t>
        </is>
      </c>
      <c r="J17" s="8" t="inlineStr">
        <is>
          <t>S</t>
        </is>
      </c>
      <c r="K17" s="18" t="inlineStr">
        <is>
          <t>N/A</t>
        </is>
      </c>
      <c r="L17" s="8" t="inlineStr">
        <is>
          <t>S</t>
        </is>
      </c>
      <c r="M17" s="8" t="inlineStr">
        <is>
          <t>S</t>
        </is>
      </c>
      <c r="N17" s="8" t="inlineStr">
        <is>
          <t>S</t>
        </is>
      </c>
      <c r="O17" s="8" t="inlineStr">
        <is>
          <t>S</t>
        </is>
      </c>
      <c r="P17" s="8" t="inlineStr">
        <is>
          <t>S</t>
        </is>
      </c>
      <c r="Q17" s="8" t="inlineStr">
        <is>
          <t>S</t>
        </is>
      </c>
      <c r="R17" s="8" t="inlineStr">
        <is>
          <t>S</t>
        </is>
      </c>
      <c r="S17" s="18" t="inlineStr">
        <is>
          <t>N/A</t>
        </is>
      </c>
      <c r="T17" s="8" t="inlineStr">
        <is>
          <t>S</t>
        </is>
      </c>
      <c r="U17" s="8" t="inlineStr">
        <is>
          <t>S</t>
        </is>
      </c>
      <c r="V17" s="8" t="inlineStr">
        <is>
          <t>S</t>
        </is>
      </c>
      <c r="W17" s="8" t="inlineStr">
        <is>
          <t>S</t>
        </is>
      </c>
      <c r="X17" s="8" t="inlineStr">
        <is>
          <t>S</t>
        </is>
      </c>
      <c r="Y17" s="8" t="inlineStr">
        <is>
          <t>S</t>
        </is>
      </c>
      <c r="Z17" s="8" t="inlineStr">
        <is>
          <t>S</t>
        </is>
      </c>
      <c r="AA17" s="8" t="inlineStr">
        <is>
          <t>S</t>
        </is>
      </c>
      <c r="AB17" s="8" t="inlineStr">
        <is>
          <t>S</t>
        </is>
      </c>
      <c r="AC17" s="8" t="inlineStr">
        <is>
          <t>S</t>
        </is>
      </c>
      <c r="AD17" s="8" t="inlineStr">
        <is>
          <t>S</t>
        </is>
      </c>
      <c r="AE17" s="8" t="inlineStr">
        <is>
          <t>S</t>
        </is>
      </c>
    </row>
    <row r="18">
      <c r="A18" s="8" t="inlineStr">
        <is>
          <t>H3</t>
        </is>
      </c>
      <c r="B18" s="9" t="inlineStr">
        <is>
          <t>Confirmar que el perfil del cliente quede activo</t>
        </is>
      </c>
      <c r="C18" s="8" t="inlineStr">
        <is>
          <t>No</t>
        </is>
      </c>
      <c r="D18" s="8" t="inlineStr">
        <is>
          <t>S/N</t>
        </is>
      </c>
      <c r="E18" s="8" t="inlineStr">
        <is>
          <t>S</t>
        </is>
      </c>
      <c r="F18" s="8" t="inlineStr">
        <is>
          <t>S</t>
        </is>
      </c>
      <c r="G18" s="8" t="inlineStr">
        <is>
          <t>S</t>
        </is>
      </c>
      <c r="H18" s="8" t="inlineStr">
        <is>
          <t>S</t>
        </is>
      </c>
      <c r="I18" s="8" t="inlineStr">
        <is>
          <t>S</t>
        </is>
      </c>
      <c r="J18" s="8" t="inlineStr">
        <is>
          <t>S</t>
        </is>
      </c>
      <c r="K18" s="18" t="inlineStr">
        <is>
          <t>S</t>
        </is>
      </c>
      <c r="L18" s="8" t="inlineStr">
        <is>
          <t>S</t>
        </is>
      </c>
      <c r="M18" s="8" t="inlineStr">
        <is>
          <t>S</t>
        </is>
      </c>
      <c r="N18" s="8" t="inlineStr">
        <is>
          <t>S</t>
        </is>
      </c>
      <c r="O18" s="8" t="inlineStr">
        <is>
          <t>S</t>
        </is>
      </c>
      <c r="P18" s="8" t="inlineStr">
        <is>
          <t>S</t>
        </is>
      </c>
      <c r="Q18" s="8" t="inlineStr">
        <is>
          <t>S</t>
        </is>
      </c>
      <c r="R18" s="8" t="inlineStr">
        <is>
          <t>S</t>
        </is>
      </c>
      <c r="S18" s="18" t="inlineStr">
        <is>
          <t>S</t>
        </is>
      </c>
      <c r="T18" s="8" t="inlineStr">
        <is>
          <t>S</t>
        </is>
      </c>
      <c r="U18" s="8" t="inlineStr">
        <is>
          <t>S</t>
        </is>
      </c>
      <c r="V18" s="8" t="inlineStr">
        <is>
          <t>S</t>
        </is>
      </c>
      <c r="W18" s="8" t="inlineStr">
        <is>
          <t>S</t>
        </is>
      </c>
      <c r="X18" s="8" t="inlineStr">
        <is>
          <t>S</t>
        </is>
      </c>
      <c r="Y18" s="8" t="inlineStr">
        <is>
          <t>S</t>
        </is>
      </c>
      <c r="Z18" s="8" t="inlineStr">
        <is>
          <t>S</t>
        </is>
      </c>
      <c r="AA18" s="8" t="inlineStr">
        <is>
          <t>S</t>
        </is>
      </c>
      <c r="AB18" s="8" t="inlineStr">
        <is>
          <t>S</t>
        </is>
      </c>
      <c r="AC18" s="8" t="inlineStr">
        <is>
          <t>S</t>
        </is>
      </c>
      <c r="AD18" s="8" t="inlineStr">
        <is>
          <t>S</t>
        </is>
      </c>
      <c r="AE18" s="8" t="inlineStr">
        <is>
          <t>S</t>
        </is>
      </c>
    </row>
    <row r="19">
      <c r="A19" s="8" t="inlineStr">
        <is>
          <t>H3</t>
        </is>
      </c>
      <c r="B19" s="9" t="inlineStr">
        <is>
          <t>Conciliación de los nuevos decos</t>
        </is>
      </c>
      <c r="C19" s="8" t="inlineStr">
        <is>
          <t>No</t>
        </is>
      </c>
      <c r="D19" s="8" t="inlineStr">
        <is>
          <t>S/N</t>
        </is>
      </c>
      <c r="E19" s="8" t="inlineStr">
        <is>
          <t>S</t>
        </is>
      </c>
      <c r="F19" s="8" t="inlineStr">
        <is>
          <t>S</t>
        </is>
      </c>
      <c r="G19" s="8" t="inlineStr">
        <is>
          <t>S</t>
        </is>
      </c>
      <c r="H19" s="8" t="inlineStr">
        <is>
          <t>S</t>
        </is>
      </c>
      <c r="I19" s="8" t="inlineStr">
        <is>
          <t>S</t>
        </is>
      </c>
      <c r="J19" s="8" t="inlineStr">
        <is>
          <t>S</t>
        </is>
      </c>
      <c r="K19" s="18" t="inlineStr">
        <is>
          <t>S</t>
        </is>
      </c>
      <c r="L19" s="8" t="inlineStr">
        <is>
          <t>S</t>
        </is>
      </c>
      <c r="M19" s="8" t="inlineStr">
        <is>
          <t>S</t>
        </is>
      </c>
      <c r="N19" s="8" t="inlineStr">
        <is>
          <t>S</t>
        </is>
      </c>
      <c r="O19" s="8" t="inlineStr">
        <is>
          <t>S</t>
        </is>
      </c>
      <c r="P19" s="8" t="inlineStr">
        <is>
          <t>S</t>
        </is>
      </c>
      <c r="Q19" s="8" t="inlineStr">
        <is>
          <t>S</t>
        </is>
      </c>
      <c r="R19" s="8" t="inlineStr">
        <is>
          <t>S</t>
        </is>
      </c>
      <c r="S19" s="18" t="inlineStr">
        <is>
          <t>S</t>
        </is>
      </c>
      <c r="T19" s="8" t="inlineStr">
        <is>
          <t>S</t>
        </is>
      </c>
      <c r="U19" s="8" t="inlineStr">
        <is>
          <t>S</t>
        </is>
      </c>
      <c r="V19" s="8" t="inlineStr">
        <is>
          <t>S</t>
        </is>
      </c>
      <c r="W19" s="8" t="inlineStr">
        <is>
          <t>S</t>
        </is>
      </c>
      <c r="X19" s="8" t="inlineStr">
        <is>
          <t>S</t>
        </is>
      </c>
      <c r="Y19" s="8" t="inlineStr">
        <is>
          <t>S</t>
        </is>
      </c>
      <c r="Z19" s="8" t="inlineStr">
        <is>
          <t>S</t>
        </is>
      </c>
      <c r="AA19" s="8" t="inlineStr">
        <is>
          <t>S</t>
        </is>
      </c>
      <c r="AB19" s="8" t="inlineStr">
        <is>
          <t>S</t>
        </is>
      </c>
      <c r="AC19" s="8" t="inlineStr">
        <is>
          <t>S</t>
        </is>
      </c>
      <c r="AD19" s="8" t="inlineStr">
        <is>
          <t>S</t>
        </is>
      </c>
      <c r="AE19" s="8" t="inlineStr">
        <is>
          <t>S</t>
        </is>
      </c>
    </row>
    <row r="20">
      <c r="A20" s="8" t="inlineStr">
        <is>
          <t>H4</t>
        </is>
      </c>
      <c r="B20" s="15" t="inlineStr">
        <is>
          <t>Las suscripciones previamente contratadas se mantienen activas</t>
        </is>
      </c>
      <c r="C20" s="16" t="inlineStr">
        <is>
          <t>Sí</t>
        </is>
      </c>
      <c r="D20" s="8" t="inlineStr">
        <is>
          <t>S/N</t>
        </is>
      </c>
      <c r="E20" s="8" t="inlineStr">
        <is>
          <t>N/A</t>
        </is>
      </c>
      <c r="F20" s="8" t="inlineStr">
        <is>
          <t>N/A</t>
        </is>
      </c>
      <c r="G20" s="8" t="inlineStr">
        <is>
          <t>N/A</t>
        </is>
      </c>
      <c r="H20" s="8" t="inlineStr">
        <is>
          <t>N</t>
        </is>
      </c>
      <c r="I20" s="8" t="inlineStr">
        <is>
          <t>Sin registro</t>
        </is>
      </c>
      <c r="J20" s="11" t="inlineStr">
        <is>
          <t>Nota</t>
        </is>
      </c>
      <c r="K20" s="18" t="inlineStr">
        <is>
          <t>N/A</t>
        </is>
      </c>
      <c r="L20" s="8" t="inlineStr">
        <is>
          <t>N/A</t>
        </is>
      </c>
      <c r="M20" s="8" t="inlineStr">
        <is>
          <t>N/A</t>
        </is>
      </c>
      <c r="N20" s="11" t="inlineStr">
        <is>
          <t>Nota</t>
        </is>
      </c>
      <c r="O20" s="8" t="inlineStr">
        <is>
          <t>S</t>
        </is>
      </c>
      <c r="P20" s="8" t="inlineStr">
        <is>
          <t>N/A</t>
        </is>
      </c>
      <c r="Q20" s="11" t="inlineStr">
        <is>
          <t>Nota</t>
        </is>
      </c>
      <c r="R20" s="8" t="inlineStr">
        <is>
          <t>N/A</t>
        </is>
      </c>
      <c r="S20" s="18" t="inlineStr">
        <is>
          <t>N/A</t>
        </is>
      </c>
      <c r="T20" s="8" t="inlineStr">
        <is>
          <t>N/A</t>
        </is>
      </c>
      <c r="U20" s="8" t="inlineStr">
        <is>
          <t>N/A</t>
        </is>
      </c>
      <c r="V20" s="8" t="inlineStr">
        <is>
          <t>N/A</t>
        </is>
      </c>
      <c r="W20" s="8" t="inlineStr">
        <is>
          <t>N/A</t>
        </is>
      </c>
      <c r="X20" s="8" t="inlineStr">
        <is>
          <t>N/A</t>
        </is>
      </c>
      <c r="Y20" s="8" t="inlineStr">
        <is>
          <t>N/A</t>
        </is>
      </c>
      <c r="Z20" s="8" t="inlineStr">
        <is>
          <t>N/A</t>
        </is>
      </c>
      <c r="AA20" s="8" t="inlineStr">
        <is>
          <t>N/A</t>
        </is>
      </c>
      <c r="AB20" s="8" t="inlineStr">
        <is>
          <t>N/A</t>
        </is>
      </c>
      <c r="AC20" s="8" t="inlineStr">
        <is>
          <t>N/A</t>
        </is>
      </c>
      <c r="AD20" s="8" t="inlineStr">
        <is>
          <t>N/A</t>
        </is>
      </c>
      <c r="AE20" s="8" t="inlineStr">
        <is>
          <t>N/A</t>
        </is>
      </c>
    </row>
    <row r="21">
      <c r="A21" s="8" t="inlineStr">
        <is>
          <t>H4</t>
        </is>
      </c>
      <c r="B21" s="9" t="inlineStr">
        <is>
          <t>Acceder a las suscripciones previamente contratadas implica un esfuerzo del cliente</t>
        </is>
      </c>
      <c r="C21" s="8" t="inlineStr">
        <is>
          <t>No</t>
        </is>
      </c>
      <c r="D21" s="8" t="inlineStr">
        <is>
          <t>S/N</t>
        </is>
      </c>
      <c r="E21" s="8" t="inlineStr">
        <is>
          <t>N/A</t>
        </is>
      </c>
      <c r="F21" s="8" t="inlineStr">
        <is>
          <t>N/A</t>
        </is>
      </c>
      <c r="G21" s="8" t="inlineStr">
        <is>
          <t>N/A</t>
        </is>
      </c>
      <c r="H21" s="11" t="inlineStr">
        <is>
          <t>Nota</t>
        </is>
      </c>
      <c r="I21" s="11" t="inlineStr">
        <is>
          <t>Nota</t>
        </is>
      </c>
      <c r="J21" s="11" t="inlineStr">
        <is>
          <t>Nota</t>
        </is>
      </c>
      <c r="K21" s="18" t="inlineStr">
        <is>
          <t>N</t>
        </is>
      </c>
      <c r="L21" s="8" t="inlineStr">
        <is>
          <t>N/A</t>
        </is>
      </c>
      <c r="M21" s="11" t="inlineStr">
        <is>
          <t>Nota</t>
        </is>
      </c>
      <c r="N21" s="8" t="inlineStr">
        <is>
          <t>N/A</t>
        </is>
      </c>
      <c r="O21" s="8" t="inlineStr">
        <is>
          <t>N</t>
        </is>
      </c>
      <c r="P21" s="8" t="inlineStr">
        <is>
          <t>N</t>
        </is>
      </c>
      <c r="Q21" s="8" t="inlineStr">
        <is>
          <t>N</t>
        </is>
      </c>
      <c r="R21" s="8" t="inlineStr">
        <is>
          <t>N/A</t>
        </is>
      </c>
      <c r="S21" s="18" t="inlineStr">
        <is>
          <t>N/A</t>
        </is>
      </c>
      <c r="T21" s="8" t="inlineStr">
        <is>
          <t>N/A</t>
        </is>
      </c>
      <c r="U21" s="8" t="inlineStr">
        <is>
          <t>N/A</t>
        </is>
      </c>
      <c r="V21" s="8" t="inlineStr">
        <is>
          <t>N/A</t>
        </is>
      </c>
      <c r="W21" s="8" t="inlineStr">
        <is>
          <t>N/A</t>
        </is>
      </c>
      <c r="X21" s="8" t="inlineStr">
        <is>
          <t>N/A</t>
        </is>
      </c>
      <c r="Y21" s="8" t="inlineStr">
        <is>
          <t>N/A</t>
        </is>
      </c>
      <c r="Z21" s="8" t="inlineStr">
        <is>
          <t>N/A</t>
        </is>
      </c>
      <c r="AA21" s="8" t="inlineStr">
        <is>
          <t>N/A</t>
        </is>
      </c>
      <c r="AB21" s="8" t="inlineStr">
        <is>
          <t>N/A</t>
        </is>
      </c>
      <c r="AC21" s="8" t="inlineStr">
        <is>
          <t>N/A</t>
        </is>
      </c>
      <c r="AD21" s="8" t="inlineStr">
        <is>
          <t>N/A</t>
        </is>
      </c>
      <c r="AE21" s="8" t="inlineStr">
        <is>
          <t>N/A</t>
        </is>
      </c>
    </row>
    <row r="22">
      <c r="A22" s="8" t="inlineStr">
        <is>
          <t>H4</t>
        </is>
      </c>
      <c r="B22" s="15" t="inlineStr">
        <is>
          <t>Las credenciales de las suscripciones se cargan automáticamente o el usuario las recuerda sin expresar disgusto</t>
        </is>
      </c>
      <c r="C22" s="16" t="inlineStr">
        <is>
          <t>Sí</t>
        </is>
      </c>
      <c r="D22" s="8" t="inlineStr">
        <is>
          <t>S/N</t>
        </is>
      </c>
      <c r="E22" s="8" t="inlineStr">
        <is>
          <t>N/A</t>
        </is>
      </c>
      <c r="F22" s="8" t="inlineStr">
        <is>
          <t>N/A</t>
        </is>
      </c>
      <c r="G22" s="8" t="inlineStr">
        <is>
          <t>N/A</t>
        </is>
      </c>
      <c r="H22" s="8" t="inlineStr">
        <is>
          <t>N/A</t>
        </is>
      </c>
      <c r="I22" s="11" t="inlineStr">
        <is>
          <t>Nota</t>
        </is>
      </c>
      <c r="J22" s="11" t="inlineStr">
        <is>
          <t>Nota</t>
        </is>
      </c>
      <c r="K22" s="18" t="inlineStr">
        <is>
          <t>N</t>
        </is>
      </c>
      <c r="L22" s="8" t="inlineStr">
        <is>
          <t>N/A</t>
        </is>
      </c>
      <c r="M22" s="8" t="inlineStr">
        <is>
          <t>N</t>
        </is>
      </c>
      <c r="N22" s="8" t="inlineStr">
        <is>
          <t>N/A</t>
        </is>
      </c>
      <c r="O22" s="8" t="inlineStr">
        <is>
          <t>N</t>
        </is>
      </c>
      <c r="P22" s="8" t="inlineStr">
        <is>
          <t>N</t>
        </is>
      </c>
      <c r="Q22" s="11" t="inlineStr">
        <is>
          <t>Nota</t>
        </is>
      </c>
      <c r="R22" s="8" t="inlineStr">
        <is>
          <t>N/A</t>
        </is>
      </c>
      <c r="S22" s="18" t="inlineStr">
        <is>
          <t>N/A</t>
        </is>
      </c>
      <c r="T22" s="8" t="inlineStr">
        <is>
          <t>N/A</t>
        </is>
      </c>
      <c r="U22" s="8" t="inlineStr">
        <is>
          <t>N/A</t>
        </is>
      </c>
      <c r="V22" s="8" t="inlineStr">
        <is>
          <t>N/A</t>
        </is>
      </c>
      <c r="W22" s="8" t="inlineStr">
        <is>
          <t>N/A</t>
        </is>
      </c>
      <c r="X22" s="8" t="inlineStr">
        <is>
          <t>N/A</t>
        </is>
      </c>
      <c r="Y22" s="8" t="inlineStr">
        <is>
          <t>N/A</t>
        </is>
      </c>
      <c r="Z22" s="8" t="inlineStr">
        <is>
          <t>N/A</t>
        </is>
      </c>
      <c r="AA22" s="8" t="inlineStr">
        <is>
          <t>N/A</t>
        </is>
      </c>
      <c r="AB22" s="8" t="inlineStr">
        <is>
          <t>N/A</t>
        </is>
      </c>
      <c r="AC22" s="8" t="inlineStr">
        <is>
          <t>N/A</t>
        </is>
      </c>
      <c r="AD22" s="8" t="inlineStr">
        <is>
          <t>N/A</t>
        </is>
      </c>
      <c r="AE22" s="8" t="inlineStr">
        <is>
          <t>N/A</t>
        </is>
      </c>
    </row>
    <row r="23">
      <c r="A23" s="8" t="inlineStr">
        <is>
          <t>H4</t>
        </is>
      </c>
      <c r="B23" s="9" t="inlineStr">
        <is>
          <t>Las apps de terceros (Netflix/YouTube) se mantienen logueadas</t>
        </is>
      </c>
      <c r="C23" s="8" t="inlineStr">
        <is>
          <t>No</t>
        </is>
      </c>
      <c r="D23" s="8" t="inlineStr">
        <is>
          <t>S/N</t>
        </is>
      </c>
      <c r="E23" s="8" t="inlineStr">
        <is>
          <t>N/A</t>
        </is>
      </c>
      <c r="F23" s="8" t="inlineStr">
        <is>
          <t>N/A</t>
        </is>
      </c>
      <c r="G23" s="8" t="inlineStr">
        <is>
          <t>N/A</t>
        </is>
      </c>
      <c r="H23" s="8" t="inlineStr">
        <is>
          <t>N/A</t>
        </is>
      </c>
      <c r="I23" s="11" t="inlineStr">
        <is>
          <t>Nota</t>
        </is>
      </c>
      <c r="J23" s="11" t="inlineStr">
        <is>
          <t>Nota</t>
        </is>
      </c>
      <c r="K23" s="18" t="inlineStr">
        <is>
          <t>N</t>
        </is>
      </c>
      <c r="L23" s="8" t="inlineStr">
        <is>
          <t>N/A</t>
        </is>
      </c>
      <c r="M23" s="8" t="inlineStr">
        <is>
          <t>S</t>
        </is>
      </c>
      <c r="N23" s="8" t="inlineStr">
        <is>
          <t>N/A</t>
        </is>
      </c>
      <c r="O23" s="8" t="inlineStr">
        <is>
          <t>N/A</t>
        </is>
      </c>
      <c r="P23" s="8" t="inlineStr">
        <is>
          <t>N</t>
        </is>
      </c>
      <c r="Q23" s="8" t="inlineStr">
        <is>
          <t>S</t>
        </is>
      </c>
      <c r="R23" s="8" t="inlineStr">
        <is>
          <t>N/A</t>
        </is>
      </c>
      <c r="S23" s="18" t="inlineStr">
        <is>
          <t>N/A</t>
        </is>
      </c>
      <c r="T23" s="8" t="inlineStr">
        <is>
          <t>N/A</t>
        </is>
      </c>
      <c r="U23" s="8" t="inlineStr">
        <is>
          <t>N/A</t>
        </is>
      </c>
      <c r="V23" s="8" t="inlineStr">
        <is>
          <t>N/A</t>
        </is>
      </c>
      <c r="W23" s="8" t="inlineStr">
        <is>
          <t>N/A</t>
        </is>
      </c>
      <c r="X23" s="8" t="inlineStr">
        <is>
          <t>N/A</t>
        </is>
      </c>
      <c r="Y23" s="8" t="inlineStr">
        <is>
          <t>N/A</t>
        </is>
      </c>
      <c r="Z23" s="8" t="inlineStr">
        <is>
          <t>N/A</t>
        </is>
      </c>
      <c r="AA23" s="8" t="inlineStr">
        <is>
          <t>N</t>
        </is>
      </c>
      <c r="AB23" s="8" t="inlineStr">
        <is>
          <t>N/A</t>
        </is>
      </c>
      <c r="AC23" s="8" t="inlineStr">
        <is>
          <t>N</t>
        </is>
      </c>
      <c r="AD23" s="8" t="inlineStr">
        <is>
          <t>N/A</t>
        </is>
      </c>
      <c r="AE23" s="8" t="inlineStr">
        <is>
          <t>N</t>
        </is>
      </c>
    </row>
    <row r="24">
      <c r="A24" s="8" t="inlineStr">
        <is>
          <t>H5</t>
        </is>
      </c>
      <c r="B24" s="9" t="inlineStr">
        <is>
          <t>Dudas que generan más tiempo de visita</t>
        </is>
      </c>
      <c r="C24" s="8" t="inlineStr">
        <is>
          <t>No</t>
        </is>
      </c>
      <c r="D24" s="8" t="inlineStr">
        <is>
          <t>S/N</t>
        </is>
      </c>
      <c r="E24" s="8" t="inlineStr">
        <is>
          <t>N</t>
        </is>
      </c>
      <c r="F24" s="11" t="inlineStr">
        <is>
          <t>Nota</t>
        </is>
      </c>
      <c r="G24" s="8" t="inlineStr">
        <is>
          <t>N</t>
        </is>
      </c>
      <c r="H24" s="11" t="inlineStr">
        <is>
          <t>Nota</t>
        </is>
      </c>
      <c r="I24" s="11" t="inlineStr">
        <is>
          <t>Nota</t>
        </is>
      </c>
      <c r="J24" s="8" t="inlineStr">
        <is>
          <t>N</t>
        </is>
      </c>
      <c r="K24" s="18" t="inlineStr">
        <is>
          <t>N</t>
        </is>
      </c>
      <c r="L24" s="8" t="inlineStr">
        <is>
          <t>N</t>
        </is>
      </c>
      <c r="M24" s="8" t="inlineStr">
        <is>
          <t>N</t>
        </is>
      </c>
      <c r="N24" s="8" t="inlineStr">
        <is>
          <t>N</t>
        </is>
      </c>
      <c r="O24" s="11" t="inlineStr">
        <is>
          <t>Nota</t>
        </is>
      </c>
      <c r="P24" s="8" t="inlineStr">
        <is>
          <t>N</t>
        </is>
      </c>
      <c r="Q24" s="11" t="inlineStr">
        <is>
          <t>Nota</t>
        </is>
      </c>
      <c r="R24" s="8" t="inlineStr">
        <is>
          <t>N</t>
        </is>
      </c>
      <c r="S24" s="18" t="inlineStr">
        <is>
          <t>N/A</t>
        </is>
      </c>
      <c r="T24" s="8" t="inlineStr">
        <is>
          <t>N</t>
        </is>
      </c>
      <c r="U24" s="8" t="inlineStr">
        <is>
          <t>N/A</t>
        </is>
      </c>
      <c r="V24" s="8" t="inlineStr">
        <is>
          <t>N/A</t>
        </is>
      </c>
      <c r="W24" s="11" t="inlineStr">
        <is>
          <t>Nota</t>
        </is>
      </c>
      <c r="X24" s="8" t="inlineStr">
        <is>
          <t>N/A</t>
        </is>
      </c>
      <c r="Y24" s="8" t="inlineStr">
        <is>
          <t>N/A</t>
        </is>
      </c>
      <c r="Z24" s="8" t="inlineStr">
        <is>
          <t>N/A</t>
        </is>
      </c>
      <c r="AA24" s="11" t="inlineStr">
        <is>
          <t>Nota</t>
        </is>
      </c>
      <c r="AB24" s="11" t="inlineStr">
        <is>
          <t>Nota</t>
        </is>
      </c>
      <c r="AC24" s="11" t="inlineStr">
        <is>
          <t>Nota</t>
        </is>
      </c>
      <c r="AD24" s="8" t="inlineStr">
        <is>
          <t>N/A</t>
        </is>
      </c>
      <c r="AE24" s="8" t="inlineStr">
        <is>
          <t>N/A</t>
        </is>
      </c>
    </row>
    <row r="25">
      <c r="A25" s="8" t="inlineStr">
        <is>
          <t>H5</t>
        </is>
      </c>
      <c r="B25" s="9" t="inlineStr">
        <is>
          <t>El cliente consulta sobre aspectos administrativos (costo, beneficio, titularidad)</t>
        </is>
      </c>
      <c r="C25" s="8" t="inlineStr">
        <is>
          <t>No</t>
        </is>
      </c>
      <c r="D25" s="8" t="inlineStr">
        <is>
          <t>S/N</t>
        </is>
      </c>
      <c r="E25" s="8" t="inlineStr">
        <is>
          <t>N</t>
        </is>
      </c>
      <c r="F25" s="8" t="inlineStr">
        <is>
          <t>N</t>
        </is>
      </c>
      <c r="G25" s="8" t="inlineStr">
        <is>
          <t>N</t>
        </is>
      </c>
      <c r="H25" s="8" t="inlineStr">
        <is>
          <t>N</t>
        </is>
      </c>
      <c r="I25" s="8" t="inlineStr">
        <is>
          <t>N</t>
        </is>
      </c>
      <c r="J25" s="8" t="inlineStr">
        <is>
          <t>N</t>
        </is>
      </c>
      <c r="K25" s="18" t="inlineStr">
        <is>
          <t>N</t>
        </is>
      </c>
      <c r="L25" s="8" t="inlineStr">
        <is>
          <t>N</t>
        </is>
      </c>
      <c r="M25" s="8" t="inlineStr">
        <is>
          <t>N</t>
        </is>
      </c>
      <c r="N25" s="8" t="inlineStr">
        <is>
          <t>N</t>
        </is>
      </c>
      <c r="O25" s="8" t="inlineStr">
        <is>
          <t>N</t>
        </is>
      </c>
      <c r="P25" s="8" t="inlineStr">
        <is>
          <t>N</t>
        </is>
      </c>
      <c r="Q25" s="8" t="inlineStr">
        <is>
          <t>N</t>
        </is>
      </c>
      <c r="R25" s="8" t="inlineStr">
        <is>
          <t>N</t>
        </is>
      </c>
      <c r="S25" s="11" t="inlineStr">
        <is>
          <t>Nota</t>
        </is>
      </c>
      <c r="T25" s="11" t="inlineStr">
        <is>
          <t>Nota</t>
        </is>
      </c>
      <c r="U25" s="8" t="inlineStr">
        <is>
          <t>N</t>
        </is>
      </c>
      <c r="V25" s="8" t="inlineStr">
        <is>
          <t>N</t>
        </is>
      </c>
      <c r="W25" s="8" t="inlineStr">
        <is>
          <t>N</t>
        </is>
      </c>
      <c r="X25" s="8" t="inlineStr">
        <is>
          <t>N</t>
        </is>
      </c>
      <c r="Y25" s="8" t="inlineStr">
        <is>
          <t>N</t>
        </is>
      </c>
      <c r="Z25" s="8" t="inlineStr">
        <is>
          <t>N</t>
        </is>
      </c>
      <c r="AA25" s="8" t="inlineStr">
        <is>
          <t>N</t>
        </is>
      </c>
      <c r="AB25" s="8" t="inlineStr">
        <is>
          <t>N</t>
        </is>
      </c>
      <c r="AC25" s="8" t="inlineStr">
        <is>
          <t>N</t>
        </is>
      </c>
      <c r="AD25" s="8" t="inlineStr">
        <is>
          <t>N</t>
        </is>
      </c>
      <c r="AE25" s="8" t="inlineStr">
        <is>
          <t>N</t>
        </is>
      </c>
    </row>
    <row r="26">
      <c r="A26" s="8" t="inlineStr">
        <is>
          <t>H5</t>
        </is>
      </c>
      <c r="B26" s="9" t="inlineStr">
        <is>
          <t>El cliente consulta sobre aspectos operativos (carga o baja de una suscripción)</t>
        </is>
      </c>
      <c r="C26" s="8" t="inlineStr">
        <is>
          <t>No</t>
        </is>
      </c>
      <c r="D26" s="8" t="inlineStr">
        <is>
          <t>S/N</t>
        </is>
      </c>
      <c r="E26" s="8" t="inlineStr">
        <is>
          <t>N</t>
        </is>
      </c>
      <c r="F26" s="8" t="inlineStr">
        <is>
          <t>N</t>
        </is>
      </c>
      <c r="G26" s="8" t="inlineStr">
        <is>
          <t>N</t>
        </is>
      </c>
      <c r="H26" s="8" t="inlineStr">
        <is>
          <t>N</t>
        </is>
      </c>
      <c r="I26" s="11" t="inlineStr">
        <is>
          <t>Nota</t>
        </is>
      </c>
      <c r="J26" s="8" t="inlineStr">
        <is>
          <t>N</t>
        </is>
      </c>
      <c r="K26" s="18" t="inlineStr">
        <is>
          <t>N</t>
        </is>
      </c>
      <c r="L26" s="8" t="inlineStr">
        <is>
          <t>N</t>
        </is>
      </c>
      <c r="M26" s="8" t="inlineStr">
        <is>
          <t>N</t>
        </is>
      </c>
      <c r="N26" s="8" t="inlineStr">
        <is>
          <t>N</t>
        </is>
      </c>
      <c r="O26" s="8" t="inlineStr">
        <is>
          <t>N</t>
        </is>
      </c>
      <c r="P26" s="8" t="inlineStr">
        <is>
          <t>N</t>
        </is>
      </c>
      <c r="Q26" s="8" t="inlineStr">
        <is>
          <t>N</t>
        </is>
      </c>
      <c r="R26" s="8" t="inlineStr">
        <is>
          <t>N</t>
        </is>
      </c>
      <c r="S26" s="18" t="inlineStr">
        <is>
          <t>N</t>
        </is>
      </c>
      <c r="T26" s="11" t="inlineStr">
        <is>
          <t>Nota</t>
        </is>
      </c>
      <c r="U26" s="8" t="inlineStr">
        <is>
          <t>N</t>
        </is>
      </c>
      <c r="V26" s="8" t="inlineStr">
        <is>
          <t>N</t>
        </is>
      </c>
      <c r="W26" s="8" t="inlineStr">
        <is>
          <t>N</t>
        </is>
      </c>
      <c r="X26" s="8" t="inlineStr">
        <is>
          <t>N</t>
        </is>
      </c>
      <c r="Y26" s="8" t="inlineStr">
        <is>
          <t>N</t>
        </is>
      </c>
      <c r="Z26" s="11" t="inlineStr">
        <is>
          <t>Nota</t>
        </is>
      </c>
      <c r="AA26" s="8" t="inlineStr">
        <is>
          <t>N</t>
        </is>
      </c>
      <c r="AB26" s="8" t="inlineStr">
        <is>
          <t>N</t>
        </is>
      </c>
      <c r="AC26" s="8" t="inlineStr">
        <is>
          <t>N</t>
        </is>
      </c>
      <c r="AD26" s="8" t="inlineStr">
        <is>
          <t>N</t>
        </is>
      </c>
      <c r="AE26" s="8" t="inlineStr">
        <is>
          <t>N</t>
        </is>
      </c>
    </row>
    <row r="27">
      <c r="A27" s="8" t="inlineStr">
        <is>
          <t>H5</t>
        </is>
      </c>
      <c r="B27" s="15" t="inlineStr">
        <is>
          <t>El cliente consulta sobre aspectos de uso (otra TV, control remoto, funciones de voz)</t>
        </is>
      </c>
      <c r="C27" s="16" t="inlineStr">
        <is>
          <t>Sí</t>
        </is>
      </c>
      <c r="D27" s="8" t="inlineStr">
        <is>
          <t>S/N</t>
        </is>
      </c>
      <c r="E27" s="8" t="inlineStr">
        <is>
          <t>N</t>
        </is>
      </c>
      <c r="F27" s="8" t="inlineStr">
        <is>
          <t>N</t>
        </is>
      </c>
      <c r="G27" s="8" t="inlineStr">
        <is>
          <t>N</t>
        </is>
      </c>
      <c r="H27" s="8" t="inlineStr">
        <is>
          <t>N</t>
        </is>
      </c>
      <c r="I27" s="11" t="inlineStr">
        <is>
          <t>Nota</t>
        </is>
      </c>
      <c r="J27" s="11" t="inlineStr">
        <is>
          <t>Nota</t>
        </is>
      </c>
      <c r="K27" s="18" t="inlineStr">
        <is>
          <t>N</t>
        </is>
      </c>
      <c r="L27" s="11" t="inlineStr">
        <is>
          <t>Nota</t>
        </is>
      </c>
      <c r="M27" s="11" t="inlineStr">
        <is>
          <t>Nota</t>
        </is>
      </c>
      <c r="N27" s="8" t="inlineStr">
        <is>
          <t>N</t>
        </is>
      </c>
      <c r="O27" s="11" t="inlineStr">
        <is>
          <t>Nota</t>
        </is>
      </c>
      <c r="P27" s="8" t="inlineStr">
        <is>
          <t>N</t>
        </is>
      </c>
      <c r="Q27" s="8" t="inlineStr">
        <is>
          <t>N</t>
        </is>
      </c>
      <c r="R27" s="8" t="inlineStr">
        <is>
          <t>N</t>
        </is>
      </c>
      <c r="S27" s="18" t="inlineStr">
        <is>
          <t>N</t>
        </is>
      </c>
      <c r="T27" s="8" t="inlineStr">
        <is>
          <t>N</t>
        </is>
      </c>
      <c r="U27" s="8" t="inlineStr">
        <is>
          <t>N</t>
        </is>
      </c>
      <c r="V27" s="8" t="inlineStr">
        <is>
          <t>N</t>
        </is>
      </c>
      <c r="W27" s="11" t="inlineStr">
        <is>
          <t>Nota</t>
        </is>
      </c>
      <c r="X27" s="8" t="inlineStr">
        <is>
          <t>N</t>
        </is>
      </c>
      <c r="Y27" s="8" t="inlineStr">
        <is>
          <t>N</t>
        </is>
      </c>
      <c r="Z27" s="8" t="inlineStr">
        <is>
          <t>N</t>
        </is>
      </c>
      <c r="AA27" s="8" t="inlineStr">
        <is>
          <t>N</t>
        </is>
      </c>
      <c r="AB27" s="8" t="inlineStr">
        <is>
          <t>N</t>
        </is>
      </c>
      <c r="AC27" s="11" t="inlineStr">
        <is>
          <t>Nota</t>
        </is>
      </c>
      <c r="AD27" s="8" t="inlineStr">
        <is>
          <t>N</t>
        </is>
      </c>
      <c r="AE27" s="8" t="inlineStr">
        <is>
          <t>N</t>
        </is>
      </c>
    </row>
    <row r="28">
      <c r="A28" s="8" t="inlineStr">
        <is>
          <t>H5</t>
        </is>
      </c>
      <c r="B28" s="9" t="inlineStr">
        <is>
          <t>El cliente consulta sobre otros temas ajenos a la gestión (facturación, débito, otra avería)</t>
        </is>
      </c>
      <c r="C28" s="8" t="inlineStr">
        <is>
          <t>No</t>
        </is>
      </c>
      <c r="D28" s="8" t="inlineStr">
        <is>
          <t>S/N</t>
        </is>
      </c>
      <c r="E28" s="8" t="inlineStr">
        <is>
          <t>N</t>
        </is>
      </c>
      <c r="F28" s="8" t="inlineStr">
        <is>
          <t>N</t>
        </is>
      </c>
      <c r="G28" s="11" t="inlineStr">
        <is>
          <t>Nota</t>
        </is>
      </c>
      <c r="H28" s="8" t="inlineStr">
        <is>
          <t>N</t>
        </is>
      </c>
      <c r="I28" s="8" t="inlineStr">
        <is>
          <t>N</t>
        </is>
      </c>
      <c r="J28" s="8" t="inlineStr">
        <is>
          <t>N</t>
        </is>
      </c>
      <c r="K28" s="18" t="inlineStr">
        <is>
          <t>N</t>
        </is>
      </c>
      <c r="L28" s="8" t="inlineStr">
        <is>
          <t>N</t>
        </is>
      </c>
      <c r="M28" s="8" t="inlineStr">
        <is>
          <t>N</t>
        </is>
      </c>
      <c r="N28" s="8" t="inlineStr">
        <is>
          <t>N</t>
        </is>
      </c>
      <c r="O28" s="11" t="inlineStr">
        <is>
          <t>Nota</t>
        </is>
      </c>
      <c r="P28" s="8" t="inlineStr">
        <is>
          <t>N</t>
        </is>
      </c>
      <c r="Q28" s="11" t="inlineStr">
        <is>
          <t>Nota</t>
        </is>
      </c>
      <c r="R28" s="8" t="inlineStr">
        <is>
          <t>N</t>
        </is>
      </c>
      <c r="S28" s="11" t="inlineStr">
        <is>
          <t>Nota</t>
        </is>
      </c>
      <c r="T28" s="8" t="inlineStr">
        <is>
          <t>N</t>
        </is>
      </c>
      <c r="U28" s="8" t="inlineStr">
        <is>
          <t>N</t>
        </is>
      </c>
      <c r="V28" s="8" t="inlineStr">
        <is>
          <t>N</t>
        </is>
      </c>
      <c r="W28" s="8" t="inlineStr">
        <is>
          <t>N</t>
        </is>
      </c>
      <c r="X28" s="8" t="inlineStr">
        <is>
          <t>N</t>
        </is>
      </c>
      <c r="Y28" s="8" t="inlineStr">
        <is>
          <t>N</t>
        </is>
      </c>
      <c r="Z28" s="11" t="inlineStr">
        <is>
          <t>Nota</t>
        </is>
      </c>
      <c r="AA28" s="8" t="inlineStr">
        <is>
          <t>N</t>
        </is>
      </c>
      <c r="AB28" s="8" t="inlineStr">
        <is>
          <t>N</t>
        </is>
      </c>
      <c r="AC28" s="8" t="inlineStr">
        <is>
          <t>N</t>
        </is>
      </c>
      <c r="AD28" s="8" t="inlineStr">
        <is>
          <t>N</t>
        </is>
      </c>
      <c r="AE28" s="8" t="inlineStr">
        <is>
          <t>N</t>
        </is>
      </c>
    </row>
    <row r="29">
      <c r="A29" s="8" t="inlineStr">
        <is>
          <t>H5</t>
        </is>
      </c>
      <c r="B29" s="9" t="inlineStr">
        <is>
          <t>El cliente reclama comunicación / información previa</t>
        </is>
      </c>
      <c r="C29" s="8" t="inlineStr">
        <is>
          <t>No</t>
        </is>
      </c>
      <c r="D29" s="8" t="inlineStr">
        <is>
          <t>S/N</t>
        </is>
      </c>
      <c r="E29" s="8" t="inlineStr">
        <is>
          <t>N</t>
        </is>
      </c>
      <c r="F29" s="8" t="inlineStr">
        <is>
          <t>N</t>
        </is>
      </c>
      <c r="G29" s="8" t="inlineStr">
        <is>
          <t>N</t>
        </is>
      </c>
      <c r="H29" s="11" t="inlineStr">
        <is>
          <t>Nota</t>
        </is>
      </c>
      <c r="I29" s="11" t="inlineStr">
        <is>
          <t>Nota</t>
        </is>
      </c>
      <c r="J29" s="8" t="inlineStr">
        <is>
          <t>N</t>
        </is>
      </c>
      <c r="K29" s="18" t="inlineStr">
        <is>
          <t>N</t>
        </is>
      </c>
      <c r="L29" s="8" t="inlineStr">
        <is>
          <t>N</t>
        </is>
      </c>
      <c r="M29" s="8" t="inlineStr">
        <is>
          <t>N</t>
        </is>
      </c>
      <c r="N29" s="8" t="inlineStr">
        <is>
          <t>N</t>
        </is>
      </c>
      <c r="O29" s="11" t="inlineStr">
        <is>
          <t>Nota</t>
        </is>
      </c>
      <c r="P29" s="8" t="inlineStr">
        <is>
          <t>N</t>
        </is>
      </c>
      <c r="Q29" s="8" t="inlineStr">
        <is>
          <t>N</t>
        </is>
      </c>
      <c r="R29" s="11" t="inlineStr">
        <is>
          <t>Nota</t>
        </is>
      </c>
      <c r="S29" s="18" t="inlineStr">
        <is>
          <t>N</t>
        </is>
      </c>
      <c r="T29" s="8" t="inlineStr">
        <is>
          <t>N</t>
        </is>
      </c>
      <c r="U29" s="8" t="inlineStr">
        <is>
          <t>N</t>
        </is>
      </c>
      <c r="V29" s="8" t="inlineStr">
        <is>
          <t>N</t>
        </is>
      </c>
      <c r="W29" s="8" t="inlineStr">
        <is>
          <t>N</t>
        </is>
      </c>
      <c r="X29" s="8" t="inlineStr">
        <is>
          <t>N</t>
        </is>
      </c>
      <c r="Y29" s="8" t="inlineStr">
        <is>
          <t>N</t>
        </is>
      </c>
      <c r="Z29" s="8" t="inlineStr">
        <is>
          <t>N</t>
        </is>
      </c>
      <c r="AA29" s="8" t="inlineStr">
        <is>
          <t>N</t>
        </is>
      </c>
      <c r="AB29" s="8" t="inlineStr">
        <is>
          <t>N</t>
        </is>
      </c>
      <c r="AC29" s="8" t="inlineStr">
        <is>
          <t>N</t>
        </is>
      </c>
      <c r="AD29" s="8" t="inlineStr">
        <is>
          <t>N</t>
        </is>
      </c>
      <c r="AE29" s="8" t="inlineStr">
        <is>
          <t>N</t>
        </is>
      </c>
    </row>
    <row r="30">
      <c r="A30" s="8" t="inlineStr">
        <is>
          <t>H6</t>
        </is>
      </c>
      <c r="B30" s="15" t="inlineStr">
        <is>
          <t>El cliente expresa haber recibido comunicación previa</t>
        </is>
      </c>
      <c r="C30" s="16" t="inlineStr">
        <is>
          <t>Sí</t>
        </is>
      </c>
      <c r="D30" s="8" t="inlineStr">
        <is>
          <t>S/N</t>
        </is>
      </c>
      <c r="E30" s="11" t="inlineStr">
        <is>
          <t>Nota</t>
        </is>
      </c>
      <c r="F30" s="8" t="inlineStr">
        <is>
          <t>N/A</t>
        </is>
      </c>
      <c r="G30" s="8" t="inlineStr">
        <is>
          <t>N</t>
        </is>
      </c>
      <c r="H30" s="8" t="inlineStr">
        <is>
          <t>N/A</t>
        </is>
      </c>
      <c r="I30" s="8" t="inlineStr">
        <is>
          <t>N</t>
        </is>
      </c>
      <c r="J30" s="8" t="inlineStr">
        <is>
          <t>N</t>
        </is>
      </c>
      <c r="K30" s="18" t="inlineStr">
        <is>
          <t>N/A</t>
        </is>
      </c>
      <c r="L30" s="8" t="inlineStr">
        <is>
          <t>N</t>
        </is>
      </c>
      <c r="M30" s="8" t="inlineStr">
        <is>
          <t>N</t>
        </is>
      </c>
      <c r="N30" s="8" t="inlineStr">
        <is>
          <t>N</t>
        </is>
      </c>
      <c r="O30" s="8" t="inlineStr">
        <is>
          <t>N/A</t>
        </is>
      </c>
      <c r="P30" s="8" t="inlineStr">
        <is>
          <t>N/A</t>
        </is>
      </c>
      <c r="Q30" s="8" t="inlineStr">
        <is>
          <t>N</t>
        </is>
      </c>
      <c r="R30" s="8" t="inlineStr">
        <is>
          <t>N</t>
        </is>
      </c>
      <c r="S30" s="18" t="inlineStr">
        <is>
          <t>N</t>
        </is>
      </c>
      <c r="T30" s="8" t="inlineStr">
        <is>
          <t>N</t>
        </is>
      </c>
      <c r="U30" s="8" t="inlineStr">
        <is>
          <t>S</t>
        </is>
      </c>
      <c r="V30" s="8" t="inlineStr">
        <is>
          <t>S</t>
        </is>
      </c>
      <c r="W30" s="8" t="inlineStr">
        <is>
          <t>S</t>
        </is>
      </c>
      <c r="X30" s="8" t="inlineStr">
        <is>
          <t>S</t>
        </is>
      </c>
      <c r="Y30" s="8" t="inlineStr">
        <is>
          <t>S</t>
        </is>
      </c>
      <c r="Z30" s="8" t="inlineStr">
        <is>
          <t>S</t>
        </is>
      </c>
      <c r="AA30" s="8" t="inlineStr">
        <is>
          <t>S</t>
        </is>
      </c>
      <c r="AB30" s="8" t="inlineStr">
        <is>
          <t>S</t>
        </is>
      </c>
      <c r="AC30" s="8" t="inlineStr">
        <is>
          <t>S</t>
        </is>
      </c>
      <c r="AD30" s="8" t="inlineStr">
        <is>
          <t>S</t>
        </is>
      </c>
      <c r="AE30" s="8" t="inlineStr">
        <is>
          <t>S</t>
        </is>
      </c>
    </row>
    <row r="31">
      <c r="A31" s="8" t="inlineStr">
        <is>
          <t>H6</t>
        </is>
      </c>
      <c r="B31" s="15" t="inlineStr">
        <is>
          <t>El cliente entiende el motivo por el que se realiza el cambio</t>
        </is>
      </c>
      <c r="C31" s="16" t="inlineStr">
        <is>
          <t>Sí</t>
        </is>
      </c>
      <c r="D31" s="8" t="inlineStr">
        <is>
          <t>S/N</t>
        </is>
      </c>
      <c r="E31" s="8" t="inlineStr">
        <is>
          <t>S</t>
        </is>
      </c>
      <c r="F31" s="11" t="inlineStr">
        <is>
          <t>Nota</t>
        </is>
      </c>
      <c r="G31" s="8" t="inlineStr">
        <is>
          <t>S</t>
        </is>
      </c>
      <c r="H31" s="11" t="inlineStr">
        <is>
          <t>Nota</t>
        </is>
      </c>
      <c r="I31" s="11" t="inlineStr">
        <is>
          <t>Nota</t>
        </is>
      </c>
      <c r="J31" s="8" t="inlineStr">
        <is>
          <t>S</t>
        </is>
      </c>
      <c r="K31" s="18" t="inlineStr">
        <is>
          <t>N</t>
        </is>
      </c>
      <c r="L31" s="8" t="inlineStr">
        <is>
          <t>N/A</t>
        </is>
      </c>
      <c r="M31" s="8" t="inlineStr">
        <is>
          <t>N</t>
        </is>
      </c>
      <c r="N31" s="8" t="inlineStr">
        <is>
          <t>N</t>
        </is>
      </c>
      <c r="O31" s="11" t="inlineStr">
        <is>
          <t>Nota</t>
        </is>
      </c>
      <c r="P31" s="11" t="inlineStr">
        <is>
          <t>Nota</t>
        </is>
      </c>
      <c r="Q31" s="11" t="inlineStr">
        <is>
          <t>Nota</t>
        </is>
      </c>
      <c r="R31" s="8" t="inlineStr">
        <is>
          <t>S</t>
        </is>
      </c>
      <c r="S31" s="18" t="inlineStr">
        <is>
          <t>N</t>
        </is>
      </c>
      <c r="T31" s="8" t="inlineStr">
        <is>
          <t>N</t>
        </is>
      </c>
      <c r="U31" s="8" t="inlineStr">
        <is>
          <t>N</t>
        </is>
      </c>
      <c r="V31" s="8" t="inlineStr">
        <is>
          <t>N</t>
        </is>
      </c>
      <c r="W31" s="8" t="inlineStr">
        <is>
          <t>N</t>
        </is>
      </c>
      <c r="X31" s="8" t="inlineStr">
        <is>
          <t>N</t>
        </is>
      </c>
      <c r="Y31" s="8" t="inlineStr">
        <is>
          <t>N</t>
        </is>
      </c>
      <c r="Z31" s="8" t="inlineStr">
        <is>
          <t>N</t>
        </is>
      </c>
      <c r="AA31" s="8" t="inlineStr">
        <is>
          <t>N</t>
        </is>
      </c>
      <c r="AB31" s="8" t="inlineStr">
        <is>
          <t>N</t>
        </is>
      </c>
      <c r="AC31" s="8" t="inlineStr">
        <is>
          <t>N</t>
        </is>
      </c>
      <c r="AD31" s="8" t="inlineStr">
        <is>
          <t>N</t>
        </is>
      </c>
      <c r="AE31" s="8" t="inlineStr">
        <is>
          <t>N</t>
        </is>
      </c>
    </row>
    <row r="32">
      <c r="A32" s="8" t="inlineStr">
        <is>
          <t>H6</t>
        </is>
      </c>
      <c r="B32" s="9" t="inlineStr">
        <is>
          <t>El cliente asume que el cambio tiene otro alcance (deco + control o solo deco)</t>
        </is>
      </c>
      <c r="C32" s="8" t="inlineStr">
        <is>
          <t>No</t>
        </is>
      </c>
      <c r="D32" s="8" t="inlineStr">
        <is>
          <t>S/N</t>
        </is>
      </c>
      <c r="E32" s="8" t="inlineStr">
        <is>
          <t>N</t>
        </is>
      </c>
      <c r="F32" s="8" t="inlineStr">
        <is>
          <t>N</t>
        </is>
      </c>
      <c r="G32" s="8" t="inlineStr">
        <is>
          <t>N</t>
        </is>
      </c>
      <c r="H32" s="8" t="inlineStr">
        <is>
          <t>N</t>
        </is>
      </c>
      <c r="I32" s="8" t="inlineStr">
        <is>
          <t>N</t>
        </is>
      </c>
      <c r="J32" s="8" t="inlineStr">
        <is>
          <t>N</t>
        </is>
      </c>
      <c r="K32" s="18" t="inlineStr">
        <is>
          <t>N</t>
        </is>
      </c>
      <c r="L32" s="8" t="inlineStr">
        <is>
          <t>N</t>
        </is>
      </c>
      <c r="M32" s="8" t="inlineStr">
        <is>
          <t>N</t>
        </is>
      </c>
      <c r="N32" s="8" t="inlineStr">
        <is>
          <t>N</t>
        </is>
      </c>
      <c r="O32" s="8" t="inlineStr">
        <is>
          <t>N</t>
        </is>
      </c>
      <c r="P32" s="8" t="inlineStr">
        <is>
          <t>N</t>
        </is>
      </c>
      <c r="Q32" s="8" t="inlineStr">
        <is>
          <t>Sin registro</t>
        </is>
      </c>
      <c r="R32" s="8" t="inlineStr">
        <is>
          <t>N</t>
        </is>
      </c>
      <c r="S32" s="18" t="inlineStr">
        <is>
          <t>N</t>
        </is>
      </c>
      <c r="T32" s="8" t="inlineStr">
        <is>
          <t>N</t>
        </is>
      </c>
      <c r="U32" s="8" t="inlineStr">
        <is>
          <t>N</t>
        </is>
      </c>
      <c r="V32" s="8" t="inlineStr">
        <is>
          <t>N</t>
        </is>
      </c>
      <c r="W32" s="8" t="inlineStr">
        <is>
          <t>N</t>
        </is>
      </c>
      <c r="X32" s="8" t="inlineStr">
        <is>
          <t>N</t>
        </is>
      </c>
      <c r="Y32" s="8" t="inlineStr">
        <is>
          <t>N</t>
        </is>
      </c>
      <c r="Z32" s="8" t="inlineStr">
        <is>
          <t>N</t>
        </is>
      </c>
      <c r="AA32" s="8" t="inlineStr">
        <is>
          <t>N</t>
        </is>
      </c>
      <c r="AB32" s="8" t="inlineStr">
        <is>
          <t>N</t>
        </is>
      </c>
      <c r="AC32" s="8" t="inlineStr">
        <is>
          <t>N</t>
        </is>
      </c>
      <c r="AD32" s="8" t="inlineStr">
        <is>
          <t>N</t>
        </is>
      </c>
      <c r="AE32" s="8" t="inlineStr">
        <is>
          <t>N</t>
        </is>
      </c>
    </row>
    <row r="33">
      <c r="A33" s="8" t="inlineStr">
        <is>
          <t>H7</t>
        </is>
      </c>
      <c r="B33" s="9" t="inlineStr">
        <is>
          <t>Tareas que generan más errores</t>
        </is>
      </c>
      <c r="C33" s="8" t="inlineStr">
        <is>
          <t>No</t>
        </is>
      </c>
      <c r="D33" s="8" t="inlineStr">
        <is>
          <t>S/N</t>
        </is>
      </c>
      <c r="E33" s="8" t="inlineStr">
        <is>
          <t>N</t>
        </is>
      </c>
      <c r="F33" s="8" t="inlineStr">
        <is>
          <t>N</t>
        </is>
      </c>
      <c r="G33" s="8" t="inlineStr">
        <is>
          <t>N/A</t>
        </is>
      </c>
      <c r="H33" s="8" t="inlineStr">
        <is>
          <t>N/A</t>
        </is>
      </c>
      <c r="I33" s="8" t="inlineStr">
        <is>
          <t>N</t>
        </is>
      </c>
      <c r="J33" s="8" t="inlineStr">
        <is>
          <t>N</t>
        </is>
      </c>
      <c r="K33" s="18" t="inlineStr">
        <is>
          <t>N</t>
        </is>
      </c>
      <c r="L33" s="8" t="inlineStr">
        <is>
          <t>N</t>
        </is>
      </c>
      <c r="M33" s="8" t="inlineStr">
        <is>
          <t>N</t>
        </is>
      </c>
      <c r="N33" s="8" t="inlineStr">
        <is>
          <t>N</t>
        </is>
      </c>
      <c r="O33" s="8" t="inlineStr">
        <is>
          <t>N</t>
        </is>
      </c>
      <c r="P33" s="8" t="inlineStr">
        <is>
          <t>N</t>
        </is>
      </c>
      <c r="Q33" s="8" t="inlineStr">
        <is>
          <t>N</t>
        </is>
      </c>
      <c r="R33" s="8" t="inlineStr">
        <is>
          <t>N</t>
        </is>
      </c>
      <c r="S33" s="18" t="inlineStr">
        <is>
          <t>N</t>
        </is>
      </c>
      <c r="T33" s="8" t="inlineStr">
        <is>
          <t>N</t>
        </is>
      </c>
      <c r="U33" s="8" t="inlineStr">
        <is>
          <t>N</t>
        </is>
      </c>
      <c r="V33" s="8" t="inlineStr">
        <is>
          <t>N/A</t>
        </is>
      </c>
      <c r="W33" s="8" t="inlineStr">
        <is>
          <t>N/A</t>
        </is>
      </c>
      <c r="X33" s="8" t="inlineStr">
        <is>
          <t>N/A</t>
        </is>
      </c>
      <c r="Y33" s="8" t="inlineStr">
        <is>
          <t>N/A</t>
        </is>
      </c>
      <c r="Z33" s="8" t="inlineStr">
        <is>
          <t>N/A</t>
        </is>
      </c>
      <c r="AA33" s="8" t="inlineStr">
        <is>
          <t>N</t>
        </is>
      </c>
      <c r="AB33" s="8" t="inlineStr">
        <is>
          <t>N/A</t>
        </is>
      </c>
      <c r="AC33" s="8" t="inlineStr">
        <is>
          <t>N/A</t>
        </is>
      </c>
      <c r="AD33" s="8" t="inlineStr">
        <is>
          <t>N/A</t>
        </is>
      </c>
      <c r="AE33" s="8" t="inlineStr">
        <is>
          <t>N</t>
        </is>
      </c>
    </row>
    <row r="34">
      <c r="A34" s="8" t="inlineStr">
        <is>
          <t>H7</t>
        </is>
      </c>
      <c r="B34" s="9" t="inlineStr">
        <is>
          <t>Botones más confusos</t>
        </is>
      </c>
      <c r="C34" s="8" t="inlineStr">
        <is>
          <t>No</t>
        </is>
      </c>
      <c r="D34" s="8" t="inlineStr">
        <is>
          <t>S/N</t>
        </is>
      </c>
      <c r="E34" s="8" t="inlineStr">
        <is>
          <t>N/A</t>
        </is>
      </c>
      <c r="F34" s="8" t="inlineStr">
        <is>
          <t>N</t>
        </is>
      </c>
      <c r="G34" s="8" t="inlineStr">
        <is>
          <t>N/A</t>
        </is>
      </c>
      <c r="H34" s="8" t="inlineStr">
        <is>
          <t>N/A</t>
        </is>
      </c>
      <c r="I34" s="8" t="inlineStr">
        <is>
          <t>N</t>
        </is>
      </c>
      <c r="J34" s="11" t="inlineStr">
        <is>
          <t>Nota</t>
        </is>
      </c>
      <c r="K34" s="11" t="inlineStr">
        <is>
          <t>Nota</t>
        </is>
      </c>
      <c r="L34" s="11" t="inlineStr">
        <is>
          <t>Nota</t>
        </is>
      </c>
      <c r="M34" s="11" t="inlineStr">
        <is>
          <t>Nota</t>
        </is>
      </c>
      <c r="N34" s="8" t="inlineStr">
        <is>
          <t>N</t>
        </is>
      </c>
      <c r="O34" s="11" t="inlineStr">
        <is>
          <t>Nota</t>
        </is>
      </c>
      <c r="P34" s="8" t="inlineStr">
        <is>
          <t>N</t>
        </is>
      </c>
      <c r="Q34" s="8" t="inlineStr">
        <is>
          <t>N</t>
        </is>
      </c>
      <c r="R34" s="8" t="inlineStr">
        <is>
          <t>N</t>
        </is>
      </c>
      <c r="S34" s="18" t="inlineStr">
        <is>
          <t>N</t>
        </is>
      </c>
      <c r="T34" s="8" t="inlineStr">
        <is>
          <t>N</t>
        </is>
      </c>
      <c r="U34" s="11" t="inlineStr">
        <is>
          <t>Nota</t>
        </is>
      </c>
      <c r="V34" s="8" t="inlineStr">
        <is>
          <t>N/A</t>
        </is>
      </c>
      <c r="W34" s="8" t="inlineStr">
        <is>
          <t>N/A</t>
        </is>
      </c>
      <c r="X34" s="8" t="inlineStr">
        <is>
          <t>N/A</t>
        </is>
      </c>
      <c r="Y34" s="8" t="inlineStr">
        <is>
          <t>N/A</t>
        </is>
      </c>
      <c r="Z34" s="8" t="inlineStr">
        <is>
          <t>N/A</t>
        </is>
      </c>
      <c r="AA34" s="8" t="inlineStr">
        <is>
          <t>N/A</t>
        </is>
      </c>
      <c r="AB34" s="11" t="inlineStr">
        <is>
          <t>Nota</t>
        </is>
      </c>
      <c r="AC34" s="8" t="inlineStr">
        <is>
          <t>N/A</t>
        </is>
      </c>
      <c r="AD34" s="8" t="inlineStr">
        <is>
          <t>N/A</t>
        </is>
      </c>
      <c r="AE34" s="8" t="inlineStr">
        <is>
          <t>N/A</t>
        </is>
      </c>
    </row>
    <row r="35">
      <c r="A35" s="8" t="inlineStr">
        <is>
          <t>H7</t>
        </is>
      </c>
      <c r="B35" s="9" t="inlineStr">
        <is>
          <t>Cantidad de asistencias necesarias</t>
        </is>
      </c>
      <c r="C35" s="8" t="inlineStr">
        <is>
          <t>No</t>
        </is>
      </c>
      <c r="D35" s="8" t="inlineStr">
        <is>
          <t>S/N</t>
        </is>
      </c>
      <c r="E35" s="8" t="inlineStr">
        <is>
          <t>N/A</t>
        </is>
      </c>
      <c r="F35" s="8" t="inlineStr">
        <is>
          <t>N/A</t>
        </is>
      </c>
      <c r="G35" s="8" t="inlineStr">
        <is>
          <t>N/A</t>
        </is>
      </c>
      <c r="H35" s="8" t="inlineStr">
        <is>
          <t>N/A</t>
        </is>
      </c>
      <c r="I35" s="11" t="inlineStr">
        <is>
          <t>Nota</t>
        </is>
      </c>
      <c r="J35" s="8" t="inlineStr">
        <is>
          <t>N/A</t>
        </is>
      </c>
      <c r="K35" s="18" t="inlineStr">
        <is>
          <t>N</t>
        </is>
      </c>
      <c r="L35" s="8" t="inlineStr">
        <is>
          <t>N/A</t>
        </is>
      </c>
      <c r="M35" s="11" t="inlineStr">
        <is>
          <t>Nota</t>
        </is>
      </c>
      <c r="N35" s="8" t="inlineStr">
        <is>
          <t>N/A</t>
        </is>
      </c>
      <c r="O35" s="8" t="inlineStr">
        <is>
          <t>N</t>
        </is>
      </c>
      <c r="P35" s="8" t="inlineStr">
        <is>
          <t>N</t>
        </is>
      </c>
      <c r="Q35" s="8" t="inlineStr">
        <is>
          <t>N</t>
        </is>
      </c>
      <c r="R35" s="8" t="inlineStr">
        <is>
          <t>N</t>
        </is>
      </c>
      <c r="S35" s="18" t="inlineStr">
        <is>
          <t>N</t>
        </is>
      </c>
      <c r="T35" s="8" t="inlineStr">
        <is>
          <t>N</t>
        </is>
      </c>
      <c r="U35" s="8" t="inlineStr">
        <is>
          <t>N</t>
        </is>
      </c>
      <c r="V35" s="8" t="inlineStr">
        <is>
          <t>N</t>
        </is>
      </c>
      <c r="W35" s="8" t="inlineStr">
        <is>
          <t>N</t>
        </is>
      </c>
      <c r="X35" s="8" t="inlineStr">
        <is>
          <t>N</t>
        </is>
      </c>
      <c r="Y35" s="8" t="inlineStr">
        <is>
          <t>N</t>
        </is>
      </c>
      <c r="Z35" s="8" t="inlineStr">
        <is>
          <t>N</t>
        </is>
      </c>
      <c r="AA35" s="8" t="inlineStr">
        <is>
          <t>N</t>
        </is>
      </c>
      <c r="AB35" s="8" t="inlineStr">
        <is>
          <t>N</t>
        </is>
      </c>
      <c r="AC35" s="8" t="inlineStr">
        <is>
          <t>N</t>
        </is>
      </c>
      <c r="AD35" s="8" t="inlineStr">
        <is>
          <t>N</t>
        </is>
      </c>
      <c r="AE35" s="8" t="inlineStr">
        <is>
          <t>N</t>
        </is>
      </c>
    </row>
    <row r="36">
      <c r="A36" s="8" t="inlineStr">
        <is>
          <t>H7</t>
        </is>
      </c>
      <c r="B36" s="15" t="inlineStr">
        <is>
          <t>El cliente reconoce las funcionalidades del control remoto</t>
        </is>
      </c>
      <c r="C36" s="16" t="inlineStr">
        <is>
          <t>Sí</t>
        </is>
      </c>
      <c r="D36" s="8" t="inlineStr">
        <is>
          <t>S/N</t>
        </is>
      </c>
      <c r="E36" s="8" t="inlineStr">
        <is>
          <t>N/A</t>
        </is>
      </c>
      <c r="F36" s="8" t="inlineStr">
        <is>
          <t>S</t>
        </is>
      </c>
      <c r="G36" s="8" t="inlineStr">
        <is>
          <t>N/A</t>
        </is>
      </c>
      <c r="H36" s="8" t="inlineStr">
        <is>
          <t>N/A</t>
        </is>
      </c>
      <c r="I36" s="11" t="inlineStr">
        <is>
          <t>Nota</t>
        </is>
      </c>
      <c r="J36" s="8" t="inlineStr">
        <is>
          <t>N/A</t>
        </is>
      </c>
      <c r="K36" s="18" t="inlineStr">
        <is>
          <t>Sin registro</t>
        </is>
      </c>
      <c r="L36" s="8" t="inlineStr">
        <is>
          <t>S</t>
        </is>
      </c>
      <c r="M36" s="8" t="inlineStr">
        <is>
          <t>S</t>
        </is>
      </c>
      <c r="N36" s="8" t="inlineStr">
        <is>
          <t>N/A</t>
        </is>
      </c>
      <c r="O36" s="8" t="inlineStr">
        <is>
          <t>N</t>
        </is>
      </c>
      <c r="P36" s="8" t="inlineStr">
        <is>
          <t>N/A</t>
        </is>
      </c>
      <c r="Q36" s="8" t="inlineStr">
        <is>
          <t>N/A</t>
        </is>
      </c>
      <c r="R36" s="8" t="inlineStr">
        <is>
          <t>N</t>
        </is>
      </c>
      <c r="S36" s="18" t="inlineStr">
        <is>
          <t>N</t>
        </is>
      </c>
      <c r="T36" s="8" t="inlineStr">
        <is>
          <t>N</t>
        </is>
      </c>
      <c r="U36" s="8" t="inlineStr">
        <is>
          <t>N/A</t>
        </is>
      </c>
      <c r="V36" s="8" t="inlineStr">
        <is>
          <t>S</t>
        </is>
      </c>
      <c r="W36" s="8" t="inlineStr">
        <is>
          <t>N/A</t>
        </is>
      </c>
      <c r="X36" s="8" t="inlineStr">
        <is>
          <t>N/A</t>
        </is>
      </c>
      <c r="Y36" s="11" t="inlineStr">
        <is>
          <t>Nota</t>
        </is>
      </c>
      <c r="Z36" s="8" t="inlineStr">
        <is>
          <t>S</t>
        </is>
      </c>
      <c r="AA36" s="8" t="inlineStr">
        <is>
          <t>S</t>
        </is>
      </c>
      <c r="AB36" s="8" t="inlineStr">
        <is>
          <t>S</t>
        </is>
      </c>
      <c r="AC36" s="8" t="inlineStr">
        <is>
          <t>N/A</t>
        </is>
      </c>
      <c r="AD36" s="8" t="inlineStr">
        <is>
          <t>N/A</t>
        </is>
      </c>
      <c r="AE36" s="8" t="inlineStr">
        <is>
          <t>N/A</t>
        </is>
      </c>
    </row>
    <row r="37">
      <c r="A37" s="8" t="inlineStr">
        <is>
          <t>H7</t>
        </is>
      </c>
      <c r="B37" s="9" t="inlineStr">
        <is>
          <t>El cliente logra ver el contenido</t>
        </is>
      </c>
      <c r="C37" s="8" t="inlineStr">
        <is>
          <t>No</t>
        </is>
      </c>
      <c r="D37" s="8" t="inlineStr">
        <is>
          <t>S/N</t>
        </is>
      </c>
      <c r="E37" s="8" t="inlineStr">
        <is>
          <t>S</t>
        </is>
      </c>
      <c r="F37" s="8" t="inlineStr">
        <is>
          <t>S</t>
        </is>
      </c>
      <c r="G37" s="8" t="inlineStr">
        <is>
          <t>S</t>
        </is>
      </c>
      <c r="H37" s="8" t="inlineStr">
        <is>
          <t>S</t>
        </is>
      </c>
      <c r="I37" s="8" t="inlineStr">
        <is>
          <t>S</t>
        </is>
      </c>
      <c r="J37" s="8" t="inlineStr">
        <is>
          <t>S</t>
        </is>
      </c>
      <c r="K37" s="18" t="inlineStr">
        <is>
          <t>S</t>
        </is>
      </c>
      <c r="L37" s="8" t="inlineStr">
        <is>
          <t>S</t>
        </is>
      </c>
      <c r="M37" s="8" t="inlineStr">
        <is>
          <t>S</t>
        </is>
      </c>
      <c r="N37" s="8" t="inlineStr">
        <is>
          <t>S</t>
        </is>
      </c>
      <c r="O37" s="8" t="inlineStr">
        <is>
          <t>S</t>
        </is>
      </c>
      <c r="P37" s="8" t="inlineStr">
        <is>
          <t>S</t>
        </is>
      </c>
      <c r="Q37" s="8" t="inlineStr">
        <is>
          <t>S</t>
        </is>
      </c>
      <c r="R37" s="8" t="inlineStr">
        <is>
          <t>S</t>
        </is>
      </c>
      <c r="S37" s="18" t="inlineStr">
        <is>
          <t>N</t>
        </is>
      </c>
      <c r="T37" s="8" t="inlineStr">
        <is>
          <t>S</t>
        </is>
      </c>
      <c r="U37" s="8" t="inlineStr">
        <is>
          <t>S</t>
        </is>
      </c>
      <c r="V37" s="8" t="inlineStr">
        <is>
          <t>S</t>
        </is>
      </c>
      <c r="W37" s="8" t="inlineStr">
        <is>
          <t>S</t>
        </is>
      </c>
      <c r="X37" s="8" t="inlineStr">
        <is>
          <t>S</t>
        </is>
      </c>
      <c r="Y37" s="8" t="inlineStr">
        <is>
          <t>S</t>
        </is>
      </c>
      <c r="Z37" s="8" t="inlineStr">
        <is>
          <t>S</t>
        </is>
      </c>
      <c r="AA37" s="8" t="inlineStr">
        <is>
          <t>S</t>
        </is>
      </c>
      <c r="AB37" s="8" t="inlineStr">
        <is>
          <t>S</t>
        </is>
      </c>
      <c r="AC37" s="8" t="inlineStr">
        <is>
          <t>S</t>
        </is>
      </c>
      <c r="AD37" s="8" t="inlineStr">
        <is>
          <t>S</t>
        </is>
      </c>
      <c r="AE37" s="8" t="inlineStr">
        <is>
          <t>S</t>
        </is>
      </c>
    </row>
    <row r="38">
      <c r="A38" s="8" t="inlineStr">
        <is>
          <t>H7</t>
        </is>
      </c>
      <c r="B38" s="15" t="inlineStr">
        <is>
          <t>El cliente logra ver las suscripciones</t>
        </is>
      </c>
      <c r="C38" s="16" t="inlineStr">
        <is>
          <t>Sí</t>
        </is>
      </c>
      <c r="D38" s="8" t="inlineStr">
        <is>
          <t>S/N</t>
        </is>
      </c>
      <c r="E38" s="8" t="inlineStr">
        <is>
          <t>N/A</t>
        </is>
      </c>
      <c r="F38" s="8" t="inlineStr">
        <is>
          <t>N/A</t>
        </is>
      </c>
      <c r="G38" s="8" t="inlineStr">
        <is>
          <t>N/A</t>
        </is>
      </c>
      <c r="H38" s="8" t="inlineStr">
        <is>
          <t>N/A</t>
        </is>
      </c>
      <c r="I38" s="8" t="inlineStr">
        <is>
          <t>S</t>
        </is>
      </c>
      <c r="J38" s="8" t="inlineStr">
        <is>
          <t>N/A</t>
        </is>
      </c>
      <c r="K38" s="18" t="inlineStr">
        <is>
          <t>N/A</t>
        </is>
      </c>
      <c r="L38" s="8" t="inlineStr">
        <is>
          <t>N/A</t>
        </is>
      </c>
      <c r="M38" s="8" t="inlineStr">
        <is>
          <t>S</t>
        </is>
      </c>
      <c r="N38" s="8" t="inlineStr">
        <is>
          <t>N/A</t>
        </is>
      </c>
      <c r="O38" s="11" t="inlineStr">
        <is>
          <t>Nota</t>
        </is>
      </c>
      <c r="P38" s="8" t="inlineStr">
        <is>
          <t>N/A</t>
        </is>
      </c>
      <c r="Q38" s="8" t="inlineStr">
        <is>
          <t>N/A</t>
        </is>
      </c>
      <c r="R38" s="8" t="inlineStr">
        <is>
          <t>N</t>
        </is>
      </c>
      <c r="S38" s="18" t="inlineStr">
        <is>
          <t>N</t>
        </is>
      </c>
      <c r="T38" s="8" t="inlineStr">
        <is>
          <t>N</t>
        </is>
      </c>
      <c r="U38" s="8" t="inlineStr">
        <is>
          <t>N</t>
        </is>
      </c>
      <c r="V38" s="8" t="inlineStr">
        <is>
          <t>N</t>
        </is>
      </c>
      <c r="W38" s="8" t="inlineStr">
        <is>
          <t>N</t>
        </is>
      </c>
      <c r="X38" s="8" t="inlineStr">
        <is>
          <t>N</t>
        </is>
      </c>
      <c r="Y38" s="8" t="inlineStr">
        <is>
          <t>N</t>
        </is>
      </c>
      <c r="Z38" s="8" t="inlineStr">
        <is>
          <t>N</t>
        </is>
      </c>
      <c r="AA38" s="8" t="inlineStr">
        <is>
          <t>N</t>
        </is>
      </c>
      <c r="AB38" s="8" t="inlineStr">
        <is>
          <t>N</t>
        </is>
      </c>
      <c r="AC38" s="8" t="inlineStr">
        <is>
          <t>N</t>
        </is>
      </c>
      <c r="AD38" s="8" t="inlineStr">
        <is>
          <t>N</t>
        </is>
      </c>
      <c r="AE38" s="8" t="inlineStr">
        <is>
          <t>N</t>
        </is>
      </c>
    </row>
    <row r="39">
      <c r="A39" s="8" t="inlineStr">
        <is>
          <t>H7</t>
        </is>
      </c>
      <c r="B39" s="9" t="inlineStr">
        <is>
          <t>El cliente logra ver datos de perfil</t>
        </is>
      </c>
      <c r="C39" s="8" t="inlineStr">
        <is>
          <t>No</t>
        </is>
      </c>
      <c r="D39" s="8" t="inlineStr">
        <is>
          <t>S/N</t>
        </is>
      </c>
      <c r="E39" s="8" t="inlineStr">
        <is>
          <t>S</t>
        </is>
      </c>
      <c r="F39" s="8" t="inlineStr">
        <is>
          <t>S</t>
        </is>
      </c>
      <c r="G39" s="8" t="inlineStr">
        <is>
          <t>S</t>
        </is>
      </c>
      <c r="H39" s="8" t="inlineStr">
        <is>
          <t>S</t>
        </is>
      </c>
      <c r="I39" s="8" t="inlineStr">
        <is>
          <t>S</t>
        </is>
      </c>
      <c r="J39" s="8" t="inlineStr">
        <is>
          <t>S</t>
        </is>
      </c>
      <c r="K39" s="18" t="inlineStr">
        <is>
          <t>S</t>
        </is>
      </c>
      <c r="L39" s="8" t="inlineStr">
        <is>
          <t>S</t>
        </is>
      </c>
      <c r="M39" s="8" t="inlineStr">
        <is>
          <t>S</t>
        </is>
      </c>
      <c r="N39" s="8" t="inlineStr">
        <is>
          <t>S</t>
        </is>
      </c>
      <c r="O39" s="8" t="inlineStr">
        <is>
          <t>S</t>
        </is>
      </c>
      <c r="P39" s="8" t="inlineStr">
        <is>
          <t>S</t>
        </is>
      </c>
      <c r="Q39" s="8" t="inlineStr">
        <is>
          <t>S</t>
        </is>
      </c>
      <c r="R39" s="8" t="inlineStr">
        <is>
          <t>S</t>
        </is>
      </c>
      <c r="S39" s="18" t="inlineStr">
        <is>
          <t>S</t>
        </is>
      </c>
      <c r="T39" s="8" t="inlineStr">
        <is>
          <t>S</t>
        </is>
      </c>
      <c r="U39" s="8" t="inlineStr">
        <is>
          <t>S</t>
        </is>
      </c>
      <c r="V39" s="8" t="inlineStr">
        <is>
          <t>S</t>
        </is>
      </c>
      <c r="W39" s="8" t="inlineStr">
        <is>
          <t>S</t>
        </is>
      </c>
      <c r="X39" s="8" t="inlineStr">
        <is>
          <t>S</t>
        </is>
      </c>
      <c r="Y39" s="8" t="inlineStr">
        <is>
          <t>S</t>
        </is>
      </c>
      <c r="Z39" s="8" t="inlineStr">
        <is>
          <t>S</t>
        </is>
      </c>
      <c r="AA39" s="8" t="inlineStr">
        <is>
          <t>S</t>
        </is>
      </c>
      <c r="AB39" s="8" t="inlineStr">
        <is>
          <t>S</t>
        </is>
      </c>
      <c r="AC39" s="8" t="inlineStr">
        <is>
          <t>S</t>
        </is>
      </c>
      <c r="AD39" s="8" t="inlineStr">
        <is>
          <t>S</t>
        </is>
      </c>
      <c r="AE39" s="8" t="inlineStr">
        <is>
          <t>S</t>
        </is>
      </c>
    </row>
    <row r="40">
      <c r="A40" s="8" t="inlineStr">
        <is>
          <t>H8</t>
        </is>
      </c>
      <c r="B40" s="9" t="inlineStr">
        <is>
          <t>Frases como "antes era más fácil" o "ahora es más fácil"</t>
        </is>
      </c>
      <c r="C40" s="8" t="inlineStr">
        <is>
          <t>No</t>
        </is>
      </c>
      <c r="D40" s="8" t="inlineStr">
        <is>
          <t>S/N</t>
        </is>
      </c>
      <c r="E40" s="8" t="inlineStr">
        <is>
          <t>N</t>
        </is>
      </c>
      <c r="F40" s="8" t="inlineStr">
        <is>
          <t>N</t>
        </is>
      </c>
      <c r="G40" s="8" t="inlineStr">
        <is>
          <t>N</t>
        </is>
      </c>
      <c r="H40" s="8" t="inlineStr">
        <is>
          <t>N</t>
        </is>
      </c>
      <c r="I40" s="11" t="inlineStr">
        <is>
          <t>Nota</t>
        </is>
      </c>
      <c r="J40" s="11" t="inlineStr">
        <is>
          <t>Nota</t>
        </is>
      </c>
      <c r="K40" s="18" t="inlineStr">
        <is>
          <t>N</t>
        </is>
      </c>
      <c r="L40" s="11" t="inlineStr">
        <is>
          <t>Nota</t>
        </is>
      </c>
      <c r="M40" s="11" t="inlineStr">
        <is>
          <t>Nota</t>
        </is>
      </c>
      <c r="N40" s="8" t="inlineStr">
        <is>
          <t>N</t>
        </is>
      </c>
      <c r="O40" s="8" t="inlineStr">
        <is>
          <t>N</t>
        </is>
      </c>
      <c r="P40" s="11" t="inlineStr">
        <is>
          <t>Nota</t>
        </is>
      </c>
      <c r="Q40" s="8" t="inlineStr">
        <is>
          <t>N</t>
        </is>
      </c>
      <c r="R40" s="8" t="inlineStr">
        <is>
          <t>N</t>
        </is>
      </c>
      <c r="S40" s="18" t="inlineStr">
        <is>
          <t>N</t>
        </is>
      </c>
      <c r="T40" s="8" t="inlineStr">
        <is>
          <t>N</t>
        </is>
      </c>
      <c r="U40" s="8" t="inlineStr">
        <is>
          <t>N</t>
        </is>
      </c>
      <c r="V40" s="8" t="inlineStr">
        <is>
          <t>N</t>
        </is>
      </c>
      <c r="W40" s="8" t="inlineStr">
        <is>
          <t>N</t>
        </is>
      </c>
      <c r="X40" s="8" t="inlineStr">
        <is>
          <t>N</t>
        </is>
      </c>
      <c r="Y40" s="8" t="inlineStr">
        <is>
          <t>N</t>
        </is>
      </c>
      <c r="Z40" s="8" t="inlineStr">
        <is>
          <t>N</t>
        </is>
      </c>
      <c r="AA40" s="8" t="inlineStr">
        <is>
          <t>N</t>
        </is>
      </c>
      <c r="AB40" s="8" t="inlineStr">
        <is>
          <t>N</t>
        </is>
      </c>
      <c r="AC40" s="8" t="inlineStr">
        <is>
          <t>N</t>
        </is>
      </c>
      <c r="AD40" s="8" t="inlineStr">
        <is>
          <t>N</t>
        </is>
      </c>
      <c r="AE40" s="8" t="inlineStr">
        <is>
          <t>N</t>
        </is>
      </c>
    </row>
    <row r="41">
      <c r="A41" s="8" t="inlineStr">
        <is>
          <t>H8</t>
        </is>
      </c>
      <c r="B41" s="9" t="inlineStr">
        <is>
          <t>Señales (gestos, muecas, expresiones) de resistencia al cambio</t>
        </is>
      </c>
      <c r="C41" s="8" t="inlineStr">
        <is>
          <t>No</t>
        </is>
      </c>
      <c r="D41" s="8" t="inlineStr">
        <is>
          <t>S/N</t>
        </is>
      </c>
      <c r="E41" s="8" t="inlineStr">
        <is>
          <t>N</t>
        </is>
      </c>
      <c r="F41" s="8" t="inlineStr">
        <is>
          <t>N</t>
        </is>
      </c>
      <c r="G41" s="8" t="inlineStr">
        <is>
          <t>N</t>
        </is>
      </c>
      <c r="H41" s="8" t="inlineStr">
        <is>
          <t>N</t>
        </is>
      </c>
      <c r="I41" s="8" t="inlineStr">
        <is>
          <t>N</t>
        </is>
      </c>
      <c r="J41" s="8" t="inlineStr">
        <is>
          <t>N</t>
        </is>
      </c>
      <c r="K41" s="18" t="inlineStr">
        <is>
          <t>N</t>
        </is>
      </c>
      <c r="L41" s="8" t="inlineStr">
        <is>
          <t>N</t>
        </is>
      </c>
      <c r="M41" s="8" t="inlineStr">
        <is>
          <t>N</t>
        </is>
      </c>
      <c r="N41" s="8" t="inlineStr">
        <is>
          <t>N</t>
        </is>
      </c>
      <c r="O41" s="8" t="inlineStr">
        <is>
          <t>N</t>
        </is>
      </c>
      <c r="P41" s="8" t="inlineStr">
        <is>
          <t>N</t>
        </is>
      </c>
      <c r="Q41" s="8" t="inlineStr">
        <is>
          <t>N</t>
        </is>
      </c>
      <c r="R41" s="8" t="inlineStr">
        <is>
          <t>N</t>
        </is>
      </c>
      <c r="S41" s="18" t="inlineStr">
        <is>
          <t>N</t>
        </is>
      </c>
      <c r="T41" s="8" t="inlineStr">
        <is>
          <t>N</t>
        </is>
      </c>
      <c r="U41" s="8" t="inlineStr">
        <is>
          <t>N</t>
        </is>
      </c>
      <c r="V41" s="8" t="inlineStr">
        <is>
          <t>N</t>
        </is>
      </c>
      <c r="W41" s="8" t="inlineStr">
        <is>
          <t>N</t>
        </is>
      </c>
      <c r="X41" s="8" t="inlineStr">
        <is>
          <t>N</t>
        </is>
      </c>
      <c r="Y41" s="8" t="inlineStr">
        <is>
          <t>N</t>
        </is>
      </c>
      <c r="Z41" s="8" t="inlineStr">
        <is>
          <t>N</t>
        </is>
      </c>
      <c r="AA41" s="8" t="inlineStr">
        <is>
          <t>N</t>
        </is>
      </c>
      <c r="AB41" s="8" t="inlineStr">
        <is>
          <t>N</t>
        </is>
      </c>
      <c r="AC41" s="8" t="inlineStr">
        <is>
          <t>N</t>
        </is>
      </c>
      <c r="AD41" s="8" t="inlineStr">
        <is>
          <t>N</t>
        </is>
      </c>
      <c r="AE41" s="8" t="inlineStr">
        <is>
          <t>N</t>
        </is>
      </c>
    </row>
    <row r="42">
      <c r="A42" s="8" t="inlineStr">
        <is>
          <t>H8</t>
        </is>
      </c>
      <c r="B42" s="9" t="inlineStr">
        <is>
          <t>Inseguridad manifiesta ("voy a necesitar ayuda", "no creo que pueda")</t>
        </is>
      </c>
      <c r="C42" s="8" t="inlineStr">
        <is>
          <t>No</t>
        </is>
      </c>
      <c r="D42" s="8" t="inlineStr">
        <is>
          <t>S/N</t>
        </is>
      </c>
      <c r="E42" s="8" t="inlineStr">
        <is>
          <t>N</t>
        </is>
      </c>
      <c r="F42" s="8" t="inlineStr">
        <is>
          <t>N</t>
        </is>
      </c>
      <c r="G42" s="8" t="inlineStr">
        <is>
          <t>N</t>
        </is>
      </c>
      <c r="H42" s="8" t="inlineStr">
        <is>
          <t>N</t>
        </is>
      </c>
      <c r="I42" s="11" t="inlineStr">
        <is>
          <t>Nota</t>
        </is>
      </c>
      <c r="J42" s="8" t="inlineStr">
        <is>
          <t>N</t>
        </is>
      </c>
      <c r="K42" s="18" t="inlineStr">
        <is>
          <t>N</t>
        </is>
      </c>
      <c r="L42" s="8" t="inlineStr">
        <is>
          <t>N</t>
        </is>
      </c>
      <c r="M42" s="8" t="inlineStr">
        <is>
          <t>N</t>
        </is>
      </c>
      <c r="N42" s="8" t="inlineStr">
        <is>
          <t>N</t>
        </is>
      </c>
      <c r="O42" s="8" t="inlineStr">
        <is>
          <t>N</t>
        </is>
      </c>
      <c r="P42" s="8" t="inlineStr">
        <is>
          <t>N</t>
        </is>
      </c>
      <c r="Q42" s="8" t="inlineStr">
        <is>
          <t>N</t>
        </is>
      </c>
      <c r="R42" s="8" t="inlineStr">
        <is>
          <t>N</t>
        </is>
      </c>
      <c r="S42" s="18" t="inlineStr">
        <is>
          <t>N</t>
        </is>
      </c>
      <c r="T42" s="8" t="inlineStr">
        <is>
          <t>N</t>
        </is>
      </c>
      <c r="U42" s="8" t="inlineStr">
        <is>
          <t>N</t>
        </is>
      </c>
      <c r="V42" s="8" t="inlineStr">
        <is>
          <t>N</t>
        </is>
      </c>
      <c r="W42" s="8" t="inlineStr">
        <is>
          <t>N</t>
        </is>
      </c>
      <c r="X42" s="8" t="inlineStr">
        <is>
          <t>N</t>
        </is>
      </c>
      <c r="Y42" s="8" t="inlineStr">
        <is>
          <t>N</t>
        </is>
      </c>
      <c r="Z42" s="8" t="inlineStr">
        <is>
          <t>N</t>
        </is>
      </c>
      <c r="AA42" s="8" t="inlineStr">
        <is>
          <t>N</t>
        </is>
      </c>
      <c r="AB42" s="8" t="inlineStr">
        <is>
          <t>N</t>
        </is>
      </c>
      <c r="AC42" s="8" t="inlineStr">
        <is>
          <t>N</t>
        </is>
      </c>
      <c r="AD42" s="8" t="inlineStr">
        <is>
          <t>N</t>
        </is>
      </c>
      <c r="AE42" s="8" t="inlineStr">
        <is>
          <t>N</t>
        </is>
      </c>
    </row>
    <row r="43">
      <c r="A43" s="8" t="inlineStr">
        <is>
          <t>H8</t>
        </is>
      </c>
      <c r="B43" s="9" t="inlineStr">
        <is>
          <t>El cliente requiere asistencia permanente del técnico (falta de autonomía)</t>
        </is>
      </c>
      <c r="C43" s="8" t="inlineStr">
        <is>
          <t>No</t>
        </is>
      </c>
      <c r="D43" s="8" t="inlineStr">
        <is>
          <t>S/N</t>
        </is>
      </c>
      <c r="E43" s="8" t="inlineStr">
        <is>
          <t>N</t>
        </is>
      </c>
      <c r="F43" s="8" t="inlineStr">
        <is>
          <t>N</t>
        </is>
      </c>
      <c r="G43" s="8" t="inlineStr">
        <is>
          <t>N</t>
        </is>
      </c>
      <c r="H43" s="8" t="inlineStr">
        <is>
          <t>N</t>
        </is>
      </c>
      <c r="I43" s="11" t="inlineStr">
        <is>
          <t>Nota</t>
        </is>
      </c>
      <c r="J43" s="8" t="inlineStr">
        <is>
          <t>N</t>
        </is>
      </c>
      <c r="K43" s="18" t="inlineStr">
        <is>
          <t>N</t>
        </is>
      </c>
      <c r="L43" s="8" t="inlineStr">
        <is>
          <t>N</t>
        </is>
      </c>
      <c r="M43" s="8" t="inlineStr">
        <is>
          <t>N</t>
        </is>
      </c>
      <c r="N43" s="8" t="inlineStr">
        <is>
          <t>N</t>
        </is>
      </c>
      <c r="O43" s="8" t="inlineStr">
        <is>
          <t>N</t>
        </is>
      </c>
      <c r="P43" s="8" t="inlineStr">
        <is>
          <t>N</t>
        </is>
      </c>
      <c r="Q43" s="8" t="inlineStr">
        <is>
          <t>N</t>
        </is>
      </c>
      <c r="R43" s="8" t="inlineStr">
        <is>
          <t>N</t>
        </is>
      </c>
      <c r="S43" s="18" t="inlineStr">
        <is>
          <t>N</t>
        </is>
      </c>
      <c r="T43" s="8" t="inlineStr">
        <is>
          <t>N</t>
        </is>
      </c>
      <c r="U43" s="8" t="inlineStr">
        <is>
          <t>N</t>
        </is>
      </c>
      <c r="V43" s="8" t="inlineStr">
        <is>
          <t>N</t>
        </is>
      </c>
      <c r="W43" s="8" t="inlineStr">
        <is>
          <t>N</t>
        </is>
      </c>
      <c r="X43" s="8" t="inlineStr">
        <is>
          <t>N</t>
        </is>
      </c>
      <c r="Y43" s="8" t="inlineStr">
        <is>
          <t>N</t>
        </is>
      </c>
      <c r="Z43" s="8" t="inlineStr">
        <is>
          <t>N</t>
        </is>
      </c>
      <c r="AA43" s="8" t="inlineStr">
        <is>
          <t>N</t>
        </is>
      </c>
      <c r="AB43" s="8" t="inlineStr">
        <is>
          <t>N</t>
        </is>
      </c>
      <c r="AC43" s="8" t="inlineStr">
        <is>
          <t>N</t>
        </is>
      </c>
      <c r="AD43" s="8" t="inlineStr">
        <is>
          <t>N</t>
        </is>
      </c>
      <c r="AE43" s="8" t="inlineStr">
        <is>
          <t>N</t>
        </is>
      </c>
    </row>
    <row r="44">
      <c r="A44" s="8" t="inlineStr">
        <is>
          <t>H8</t>
        </is>
      </c>
      <c r="B44" s="9" t="inlineStr">
        <is>
          <t>El cliente manifiesta rechazo ante la nueva interfaz</t>
        </is>
      </c>
      <c r="C44" s="8" t="inlineStr">
        <is>
          <t>No</t>
        </is>
      </c>
      <c r="D44" s="8" t="inlineStr">
        <is>
          <t>S/N</t>
        </is>
      </c>
      <c r="E44" s="8" t="inlineStr">
        <is>
          <t>N</t>
        </is>
      </c>
      <c r="F44" s="8" t="inlineStr">
        <is>
          <t>N</t>
        </is>
      </c>
      <c r="G44" s="8" t="inlineStr">
        <is>
          <t>N</t>
        </is>
      </c>
      <c r="H44" s="8" t="inlineStr">
        <is>
          <t>N</t>
        </is>
      </c>
      <c r="I44" s="11" t="inlineStr">
        <is>
          <t>Nota</t>
        </is>
      </c>
      <c r="J44" s="8" t="inlineStr">
        <is>
          <t>N</t>
        </is>
      </c>
      <c r="K44" s="18" t="inlineStr">
        <is>
          <t>N</t>
        </is>
      </c>
      <c r="L44" s="8" t="inlineStr">
        <is>
          <t>N</t>
        </is>
      </c>
      <c r="M44" s="8" t="inlineStr">
        <is>
          <t>N</t>
        </is>
      </c>
      <c r="N44" s="8" t="inlineStr">
        <is>
          <t>N</t>
        </is>
      </c>
      <c r="O44" s="8" t="inlineStr">
        <is>
          <t>N</t>
        </is>
      </c>
      <c r="P44" s="8" t="inlineStr">
        <is>
          <t>N</t>
        </is>
      </c>
      <c r="Q44" s="8" t="inlineStr">
        <is>
          <t>N</t>
        </is>
      </c>
      <c r="R44" s="8" t="inlineStr">
        <is>
          <t>N</t>
        </is>
      </c>
      <c r="S44" s="18" t="inlineStr">
        <is>
          <t>N</t>
        </is>
      </c>
      <c r="T44" s="8" t="inlineStr">
        <is>
          <t>N</t>
        </is>
      </c>
      <c r="U44" s="8" t="inlineStr">
        <is>
          <t>N</t>
        </is>
      </c>
      <c r="V44" s="8" t="inlineStr">
        <is>
          <t>N</t>
        </is>
      </c>
      <c r="W44" s="8" t="inlineStr">
        <is>
          <t>N</t>
        </is>
      </c>
      <c r="X44" s="8" t="inlineStr">
        <is>
          <t>N</t>
        </is>
      </c>
      <c r="Y44" s="8" t="inlineStr">
        <is>
          <t>N</t>
        </is>
      </c>
      <c r="Z44" s="8" t="inlineStr">
        <is>
          <t>N</t>
        </is>
      </c>
      <c r="AA44" s="8" t="inlineStr">
        <is>
          <t>N</t>
        </is>
      </c>
      <c r="AB44" s="8" t="inlineStr">
        <is>
          <t>N</t>
        </is>
      </c>
      <c r="AC44" s="8" t="inlineStr">
        <is>
          <t>N</t>
        </is>
      </c>
      <c r="AD44" s="8" t="inlineStr">
        <is>
          <t>N</t>
        </is>
      </c>
      <c r="AE44" s="8" t="inlineStr">
        <is>
          <t>N</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2026-09-30T12:27:48Z</dcterms:created>
  <dcterms:modified xmlns:dcterms="http://purl.org/dc/terms/" xmlns:xsi="http://www.w3.org/2001/XMLSchema-instance" xsi:type="dcterms:W3CDTF">2026-09-30T12:27:48Z</dcterms:modified>
</cp:coreProperties>
</file>